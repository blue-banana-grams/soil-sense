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Tiers" sheetId="3" state="visible" r:id="rId5"/>
    <sheet name="Confidence_Rules" sheetId="4" state="visible" r:id="rId6"/>
    <sheet name="Recommendation_Gates" sheetId="5" state="visible" r:id="rId7"/>
    <sheet name="Confidence_Calculator" sheetId="6" state="visible" r:id="rId8"/>
    <sheet name="Data_Sources" sheetId="7" state="visible" r:id="rId9"/>
    <sheet name="Corn_Reference" sheetId="8" state="visible" r:id="rId10"/>
    <sheet name="Open_Questions" sheetId="9" state="visible" r:id="rId11"/>
    <sheet name="Field_Profile" sheetId="10" state="visible" r:id="rId12"/>
    <sheet name="Climate_Derivations" sheetId="11" state="visible" r:id="rId13"/>
  </sheets>
  <definedNames>
    <definedName function="false" hidden="true" localSheetId="1" name="_xlnm._FilterDatabase" vbProcedure="false">Inputs!$A$1:$J$33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<sst xmlns="http://schemas.openxmlformats.org/spreadsheetml/2006/main" count="570" uniqueCount="409">
  <si>
    <t xml:space="preserve">Corn Soil Health Algorithm - Input Specification</t>
  </si>
  <si>
    <t xml:space="preserve">Purpose</t>
  </si>
  <si>
    <t xml:space="preserve">Defines the data a farmer enters (or the system auto-fills) to generate soil improvement recommendations for corn, with a confidence level based on how each input was obtained.</t>
  </si>
  <si>
    <t xml:space="preserve">Status</t>
  </si>
  <si>
    <t xml:space="preserve">DRAFT v0.1. Tier weights, penalties, and thresholds are placeholder values that need calibration by an agronomist and validation against real data.</t>
  </si>
  <si>
    <t xml:space="preserve">Sheets</t>
  </si>
  <si>
    <t xml:space="preserve">Inputs: one row per data field.  Tiers: data-source types and base confidence.  Confidence_Rules: tunable parameters.  Recommendation_Gates: what each recommendation requires.  Confidence_Calculator: working example of the scoring.  Data_Sources: open data to auto-fill.  Corn_Reference: values from the EcoFarming Daily article.  Open_Questions: items to resolve before implementation.</t>
  </si>
  <si>
    <t xml:space="preserve">Legend</t>
  </si>
  <si>
    <t xml:space="preserve">Blue text = editable assumption or input.  Yellow fill = cell to change in the calculator.  Black = formula.</t>
  </si>
  <si>
    <t xml:space="preserve">Implementation notes</t>
  </si>
  <si>
    <t xml:space="preserve">1) Store tier, units, test method, and sample date with every value.  2) Never output lime or P/K rates from non-lab data.  3) Allow incomplete input; return what can be computed and list what would improve confidence.</t>
  </si>
  <si>
    <t xml:space="preserve">Sources</t>
  </si>
  <si>
    <t xml:space="preserve">Corn soil/climate reference values: ecofarmingdaily.com (excerpt of 'How to Grow Top Quality Corn', Dr. Harold Willis). Open data: USDA NASS Quick Stats, USDA NRCS Soil Data Access (SSURGO), ISRIC SoilGrids (CC BY 4.0).</t>
  </si>
  <si>
    <t xml:space="preserve">input_id</t>
  </si>
  <si>
    <t xml:space="preserve">group</t>
  </si>
  <si>
    <t xml:space="preserve">label</t>
  </si>
  <si>
    <t xml:space="preserve">data_type</t>
  </si>
  <si>
    <t xml:space="preserve">unit_or_values</t>
  </si>
  <si>
    <t xml:space="preserve">allowed_tiers</t>
  </si>
  <si>
    <t xml:space="preserve">tier_notes (field test / kit format)</t>
  </si>
  <si>
    <t xml:space="preserve">requirement</t>
  </si>
  <si>
    <t xml:space="preserve">required_metadata</t>
  </si>
  <si>
    <t xml:space="preserve">drives</t>
  </si>
  <si>
    <t xml:space="preserve">ph</t>
  </si>
  <si>
    <t xml:space="preserve">soil_chemistry</t>
  </si>
  <si>
    <t xml:space="preserve">Soil pH</t>
  </si>
  <si>
    <t xml:space="preserve">number (3.5-9.5)</t>
  </si>
  <si>
    <t xml:space="preserve">pH units</t>
  </si>
  <si>
    <t xml:space="preserve">lab; field_kit; auto</t>
  </si>
  <si>
    <t xml:space="preserve">Kit gives a range (e.g. 6.0-6.5). Probe meters need calibration.</t>
  </si>
  <si>
    <t xml:space="preserve">Required for lime advice</t>
  </si>
  <si>
    <t xml:space="preserve">sample_date, depth</t>
  </si>
  <si>
    <t xml:space="preserve">Lime need; nutrient availability flags</t>
  </si>
  <si>
    <t xml:space="preserve">buffer_ph</t>
  </si>
  <si>
    <t xml:space="preserve">Buffer pH</t>
  </si>
  <si>
    <t xml:space="preserve">number</t>
  </si>
  <si>
    <t xml:space="preserve">lab</t>
  </si>
  <si>
    <t xml:space="preserve">Lab only</t>
  </si>
  <si>
    <t xml:space="preserve">Required for lime rate</t>
  </si>
  <si>
    <t xml:space="preserve">sample_date</t>
  </si>
  <si>
    <t xml:space="preserve">Lime rate</t>
  </si>
  <si>
    <t xml:space="preserve">organic_matter_pct</t>
  </si>
  <si>
    <t xml:space="preserve">Organic matter</t>
  </si>
  <si>
    <t xml:space="preserve">number (0-20)</t>
  </si>
  <si>
    <t xml:space="preserve">percent</t>
  </si>
  <si>
    <t xml:space="preserve">lab; auto; observation</t>
  </si>
  <si>
    <t xml:space="preserve">Observation = low / medium / high</t>
  </si>
  <si>
    <t xml:space="preserve">Recommended</t>
  </si>
  <si>
    <t xml:space="preserve">N credit; structure and water holding</t>
  </si>
  <si>
    <t xml:space="preserve">phosphorus</t>
  </si>
  <si>
    <t xml:space="preserve">Phosphorus (P)</t>
  </si>
  <si>
    <t xml:space="preserve">ppm or lb/ac</t>
  </si>
  <si>
    <t xml:space="preserve">lab; field_kit</t>
  </si>
  <si>
    <t xml:space="preserve">Kit = very low / low / optimum / high</t>
  </si>
  <si>
    <t xml:space="preserve">Required for P rate</t>
  </si>
  <si>
    <t xml:space="preserve">test_method (Bray-P1 / Mehlich-3 / Olsen), depth_in, sample_date</t>
  </si>
  <si>
    <t xml:space="preserve">P recommendation</t>
  </si>
  <si>
    <t xml:space="preserve">potassium</t>
  </si>
  <si>
    <t xml:space="preserve">Potassium (K)</t>
  </si>
  <si>
    <t xml:space="preserve">Required for K rate</t>
  </si>
  <si>
    <t xml:space="preserve">test_method, depth_in, sample_date</t>
  </si>
  <si>
    <t xml:space="preserve">K recommendation</t>
  </si>
  <si>
    <t xml:space="preserve">nitrate_n</t>
  </si>
  <si>
    <t xml:space="preserve">Nitrate-N</t>
  </si>
  <si>
    <t xml:space="preserve">ppm</t>
  </si>
  <si>
    <t xml:space="preserve">Test strips give categories</t>
  </si>
  <si>
    <t xml:space="preserve">Optional</t>
  </si>
  <si>
    <t xml:space="preserve">N plan refinement</t>
  </si>
  <si>
    <t xml:space="preserve">cec</t>
  </si>
  <si>
    <t xml:space="preserve">CEC</t>
  </si>
  <si>
    <t xml:space="preserve">meq/100g</t>
  </si>
  <si>
    <t xml:space="preserve">lab; auto</t>
  </si>
  <si>
    <t xml:space="preserve">Nutrient holding capacity</t>
  </si>
  <si>
    <t xml:space="preserve">zinc</t>
  </si>
  <si>
    <t xml:space="preserve">Zinc (Zn)</t>
  </si>
  <si>
    <t xml:space="preserve">No reliable field test</t>
  </si>
  <si>
    <t xml:space="preserve">test_method</t>
  </si>
  <si>
    <t xml:space="preserve">Zn recommendation (corn)</t>
  </si>
  <si>
    <t xml:space="preserve">other_nutrients</t>
  </si>
  <si>
    <t xml:space="preserve">Ca, Mg, S, Fe, Mn, Cu, B</t>
  </si>
  <si>
    <t xml:space="preserve">number each</t>
  </si>
  <si>
    <t xml:space="preserve">Secondary/trace nutrient flags</t>
  </si>
  <si>
    <t xml:space="preserve">texture</t>
  </si>
  <si>
    <t xml:space="preserve">soil_physical</t>
  </si>
  <si>
    <t xml:space="preserve">Soil texture</t>
  </si>
  <si>
    <t xml:space="preserve">category</t>
  </si>
  <si>
    <t xml:space="preserve">sand; loamy sand; sandy loam; loam; silt loam; clay loam; silty clay loam; clay; other</t>
  </si>
  <si>
    <t xml:space="preserve">lab; field_test; auto</t>
  </si>
  <si>
    <t xml:space="preserve">Ribbon test or jar test</t>
  </si>
  <si>
    <t xml:space="preserve">Water holding, drainage, N loss risk</t>
  </si>
  <si>
    <t xml:space="preserve">compaction_depth_in</t>
  </si>
  <si>
    <t xml:space="preserve">Depth of compaction layer</t>
  </si>
  <si>
    <t xml:space="preserve">number (0-48)</t>
  </si>
  <si>
    <t xml:space="preserve">inches</t>
  </si>
  <si>
    <t xml:space="preserve">field_test; observation</t>
  </si>
  <si>
    <t xml:space="preserve">Penetrometer, wire flag, or spade dig; depth where resistance jumps</t>
  </si>
  <si>
    <t xml:space="preserve">Compaction advice</t>
  </si>
  <si>
    <t xml:space="preserve">infiltration_min_per_in</t>
  </si>
  <si>
    <t xml:space="preserve">Infiltration time</t>
  </si>
  <si>
    <t xml:space="preserve">minutes per inch</t>
  </si>
  <si>
    <t xml:space="preserve">field_test</t>
  </si>
  <si>
    <t xml:space="preserve">Ring infiltration test</t>
  </si>
  <si>
    <t xml:space="preserve">Structure, drainage advice</t>
  </si>
  <si>
    <t xml:space="preserve">bulk_density</t>
  </si>
  <si>
    <t xml:space="preserve">Bulk density</t>
  </si>
  <si>
    <t xml:space="preserve">g/cm3</t>
  </si>
  <si>
    <t xml:space="preserve">lab; field_test</t>
  </si>
  <si>
    <t xml:space="preserve">Core method, dried and weighed</t>
  </si>
  <si>
    <t xml:space="preserve">Compaction</t>
  </si>
  <si>
    <t xml:space="preserve">aggregate_stability</t>
  </si>
  <si>
    <t xml:space="preserve">Aggregate stability</t>
  </si>
  <si>
    <t xml:space="preserve">falls apart quickly; partly holds; holds well</t>
  </si>
  <si>
    <t xml:space="preserve">Slake test or SLAKES app</t>
  </si>
  <si>
    <t xml:space="preserve">Structure advice</t>
  </si>
  <si>
    <t xml:space="preserve">surface_crusting</t>
  </si>
  <si>
    <t xml:space="preserve">Surface crusting</t>
  </si>
  <si>
    <t xml:space="preserve">none; slight; moderate; severe</t>
  </si>
  <si>
    <t xml:space="preserve">observation</t>
  </si>
  <si>
    <t xml:space="preserve">ponding_or_slow_drying</t>
  </si>
  <si>
    <t xml:space="preserve">Ponding / slow spring drying</t>
  </si>
  <si>
    <t xml:space="preserve">never; sometimes; often</t>
  </si>
  <si>
    <t xml:space="preserve">Drainage and aeration advice</t>
  </si>
  <si>
    <t xml:space="preserve">drainage_class</t>
  </si>
  <si>
    <t xml:space="preserve">Drainage class</t>
  </si>
  <si>
    <t xml:space="preserve">auto; observation</t>
  </si>
  <si>
    <t xml:space="preserve">Aeration risk</t>
  </si>
  <si>
    <t xml:space="preserve">respiration_co2_burst</t>
  </si>
  <si>
    <t xml:space="preserve">soil_biology</t>
  </si>
  <si>
    <t xml:space="preserve">Soil respiration (CO2 burst)</t>
  </si>
  <si>
    <t xml:space="preserve">lab units</t>
  </si>
  <si>
    <t xml:space="preserve">method, sample_date</t>
  </si>
  <si>
    <t xml:space="preserve">Biological activity</t>
  </si>
  <si>
    <t xml:space="preserve">active_carbon</t>
  </si>
  <si>
    <t xml:space="preserve">Active carbon</t>
  </si>
  <si>
    <t xml:space="preserve">Labile organic matter</t>
  </si>
  <si>
    <t xml:space="preserve">earthworms_per_spade</t>
  </si>
  <si>
    <t xml:space="preserve">Earthworm count</t>
  </si>
  <si>
    <t xml:space="preserve">integer</t>
  </si>
  <si>
    <t xml:space="preserve">count per spade block (1 ft deep)</t>
  </si>
  <si>
    <t xml:space="preserve">Dig and count</t>
  </si>
  <si>
    <t xml:space="preserve">residue_breakdown</t>
  </si>
  <si>
    <t xml:space="preserve">Residue breakdown</t>
  </si>
  <si>
    <t xml:space="preserve">little; moderate; mostly decomposed</t>
  </si>
  <si>
    <t xml:space="preserve">Buried cotton fabric over several weeks</t>
  </si>
  <si>
    <t xml:space="preserve">soil_smell</t>
  </si>
  <si>
    <t xml:space="preserve">Soil smell</t>
  </si>
  <si>
    <t xml:space="preserve">earthy; neutral; sour or rotten</t>
  </si>
  <si>
    <t xml:space="preserve">Sour/rotten flags low oxygen</t>
  </si>
  <si>
    <t xml:space="preserve">Aeration flag</t>
  </si>
  <si>
    <t xml:space="preserve">root_condition</t>
  </si>
  <si>
    <t xml:space="preserve">Root condition</t>
  </si>
  <si>
    <t xml:space="preserve">deep and branching; shallow; flattened or stunted</t>
  </si>
  <si>
    <t xml:space="preserve">Compaction / aeration flag</t>
  </si>
  <si>
    <t xml:space="preserve">rotation</t>
  </si>
  <si>
    <t xml:space="preserve">management</t>
  </si>
  <si>
    <t xml:space="preserve">Crop rotation (last 3 years)</t>
  </si>
  <si>
    <t xml:space="preserve">list of (year, crop)</t>
  </si>
  <si>
    <t xml:space="preserve">farmer entry</t>
  </si>
  <si>
    <t xml:space="preserve">Required</t>
  </si>
  <si>
    <t xml:space="preserve">N credit; pest and disease risk</t>
  </si>
  <si>
    <t xml:space="preserve">tillage</t>
  </si>
  <si>
    <t xml:space="preserve">Tillage type and depth</t>
  </si>
  <si>
    <t xml:space="preserve">category + number</t>
  </si>
  <si>
    <t xml:space="preserve">none; reduced; conventional; depth in inches</t>
  </si>
  <si>
    <t xml:space="preserve">Structure and organic matter advice</t>
  </si>
  <si>
    <t xml:space="preserve">cover_crop</t>
  </si>
  <si>
    <t xml:space="preserve">Cover crop</t>
  </si>
  <si>
    <t xml:space="preserve">object</t>
  </si>
  <si>
    <t xml:space="preserve">species, plant_date, termination_date</t>
  </si>
  <si>
    <t xml:space="preserve">Organic matter, N, structure</t>
  </si>
  <si>
    <t xml:space="preserve">amendments</t>
  </si>
  <si>
    <t xml:space="preserve">Fertilizer, manure, compost, lime applied</t>
  </si>
  <si>
    <t xml:space="preserve">list of objects</t>
  </si>
  <si>
    <t xml:space="preserve">product, rate, unit, date, method</t>
  </si>
  <si>
    <t xml:space="preserve">N plan; nutrient balance</t>
  </si>
  <si>
    <t xml:space="preserve">yield_history</t>
  </si>
  <si>
    <t xml:space="preserve">Corn yield history</t>
  </si>
  <si>
    <t xml:space="preserve">list of (year, bu/ac)</t>
  </si>
  <si>
    <t xml:space="preserve">bu/acre</t>
  </si>
  <si>
    <t xml:space="preserve">Benchmarking; outcome tracking</t>
  </si>
  <si>
    <t xml:space="preserve">yield_goal</t>
  </si>
  <si>
    <t xml:space="preserve">Yield goal</t>
  </si>
  <si>
    <t xml:space="preserve">N plan</t>
  </si>
  <si>
    <t xml:space="preserve">field_location</t>
  </si>
  <si>
    <t xml:space="preserve">field</t>
  </si>
  <si>
    <t xml:space="preserve">Field location or boundary</t>
  </si>
  <si>
    <t xml:space="preserve">GeoJSON or lat/lon</t>
  </si>
  <si>
    <t xml:space="preserve">Pin or polygon</t>
  </si>
  <si>
    <t xml:space="preserve">Auto-fill of soil, weather, yield benchmarks</t>
  </si>
  <si>
    <t xml:space="preserve">irrigated</t>
  </si>
  <si>
    <t xml:space="preserve">Irrigated?</t>
  </si>
  <si>
    <t xml:space="preserve">boolean</t>
  </si>
  <si>
    <t xml:space="preserve">Water supply (corn needs 15+ in. in season)</t>
  </si>
  <si>
    <t xml:space="preserve">tile_drained</t>
  </si>
  <si>
    <t xml:space="preserve">Tile drained?</t>
  </si>
  <si>
    <t xml:space="preserve">boolean / unknown</t>
  </si>
  <si>
    <t xml:space="preserve">Drainage</t>
  </si>
  <si>
    <t xml:space="preserve">Data source tiers</t>
  </si>
  <si>
    <t xml:space="preserve">tier_id</t>
  </si>
  <si>
    <t xml:space="preserve">base_confidence</t>
  </si>
  <si>
    <t xml:space="preserve">notes</t>
  </si>
  <si>
    <t xml:space="preserve">Lab test</t>
  </si>
  <si>
    <t xml:space="preserve">Hands-on field test</t>
  </si>
  <si>
    <t xml:space="preserve">Physical tests done correctly are reliable</t>
  </si>
  <si>
    <t xml:space="preserve">auto</t>
  </si>
  <si>
    <t xml:space="preserve">Auto-filled (SSURGO / NASS / weather)</t>
  </si>
  <si>
    <t xml:space="preserve">Map-unit averages, not field specific</t>
  </si>
  <si>
    <t xml:space="preserve">field_kit</t>
  </si>
  <si>
    <t xml:space="preserve">Field kit or meter</t>
  </si>
  <si>
    <t xml:space="preserve">Categories or ranges only</t>
  </si>
  <si>
    <t xml:space="preserve">Visual / farmer judgment</t>
  </si>
  <si>
    <t xml:space="preserve">Base confidence values are placeholder assumptions (not from a source); calibrate before use.</t>
  </si>
  <si>
    <t xml:space="preserve">Tunable scoring parameters</t>
  </si>
  <si>
    <t xml:space="preserve">parameter</t>
  </si>
  <si>
    <t xml:space="preserve">value</t>
  </si>
  <si>
    <t xml:space="preserve">description</t>
  </si>
  <si>
    <t xml:space="preserve">age_threshold_years</t>
  </si>
  <si>
    <t xml:space="preserve">Samples older than this are penalized</t>
  </si>
  <si>
    <t xml:space="preserve">age_penalty_factor</t>
  </si>
  <si>
    <t xml:space="preserve">Multiplier applied when sample is older than threshold</t>
  </si>
  <si>
    <t xml:space="preserve">missing_method_penalty_factor</t>
  </si>
  <si>
    <t xml:space="preserve">Multiplier applied when test method or units are missing</t>
  </si>
  <si>
    <t xml:space="preserve">high_threshold</t>
  </si>
  <si>
    <t xml:space="preserve">Confidence at or above this = High</t>
  </si>
  <si>
    <t xml:space="preserve">medium_threshold</t>
  </si>
  <si>
    <t xml:space="preserve">Confidence at or above this = Medium; below = Low</t>
  </si>
  <si>
    <t xml:space="preserve">All values are placeholder assumptions to be calibrated with an agronomist.</t>
  </si>
  <si>
    <t xml:space="preserve">recommendation</t>
  </si>
  <si>
    <t xml:space="preserve">needs</t>
  </si>
  <si>
    <t xml:space="preserve">improves_with</t>
  </si>
  <si>
    <t xml:space="preserve">if_missing / output rule</t>
  </si>
  <si>
    <t xml:space="preserve">ph (lab); buffer_ph (lab)</t>
  </si>
  <si>
    <t xml:space="preserve">Do not give a rate. Advise lab test.</t>
  </si>
  <si>
    <t xml:space="preserve">Phosphorus / potassium rate</t>
  </si>
  <si>
    <t xml:space="preserve">phosphorus (lab); potassium (lab); test_method</t>
  </si>
  <si>
    <t xml:space="preserve">Nitrogen plan</t>
  </si>
  <si>
    <t xml:space="preserve">rotation; yield_goal</t>
  </si>
  <si>
    <t xml:space="preserve">nitrate_n; organic_matter_pct; amendments</t>
  </si>
  <si>
    <t xml:space="preserve">Give a range labeled low confidence.</t>
  </si>
  <si>
    <t xml:space="preserve">compaction_depth_in OR ponding_or_slow_drying</t>
  </si>
  <si>
    <t xml:space="preserve">root_condition; soil_smell; bulk_density</t>
  </si>
  <si>
    <t xml:space="preserve">Ask for a spade or penetrometer check.</t>
  </si>
  <si>
    <t xml:space="preserve">tillage; rotation</t>
  </si>
  <si>
    <t xml:space="preserve">aggregate_stability; infiltration_min_per_in; earthworms_per_spade; organic_matter_pct</t>
  </si>
  <si>
    <t xml:space="preserve">Cover crops, reduced tillage, and residue management can be advised without lab data.</t>
  </si>
  <si>
    <t xml:space="preserve">pH direction only</t>
  </si>
  <si>
    <t xml:space="preserve">ph (field_kit)</t>
  </si>
  <si>
    <t xml:space="preserve">Output acidic / near optimal / alkaline flag only. Recommend lab confirmation before liming.</t>
  </si>
  <si>
    <t xml:space="preserve">Worked example: confidence for one recommendation (Nitrogen plan)</t>
  </si>
  <si>
    <t xml:space="preserve">Edit the yellow cells. Tier must match a tier_id on the Tiers sheet. Example values are illustrative only.</t>
  </si>
  <si>
    <t xml:space="preserve">input</t>
  </si>
  <si>
    <t xml:space="preserve">tier</t>
  </si>
  <si>
    <t xml:space="preserve">sample_age_years</t>
  </si>
  <si>
    <t xml:space="preserve">method_recorded (Y/N)</t>
  </si>
  <si>
    <t xml:space="preserve">age_factor</t>
  </si>
  <si>
    <t xml:space="preserve">method_factor</t>
  </si>
  <si>
    <t xml:space="preserve">final_confidence</t>
  </si>
  <si>
    <t xml:space="preserve">Y</t>
  </si>
  <si>
    <t xml:space="preserve">N</t>
  </si>
  <si>
    <t xml:space="preserve">Recommendation confidence (average)</t>
  </si>
  <si>
    <t xml:space="preserve">Level</t>
  </si>
  <si>
    <t xml:space="preserve">source</t>
  </si>
  <si>
    <t xml:space="preserve">provides</t>
  </si>
  <si>
    <t xml:space="preserve">access</t>
  </si>
  <si>
    <t xml:space="preserve">license / terms</t>
  </si>
  <si>
    <t xml:space="preserve">USDA NASS Quick Stats</t>
  </si>
  <si>
    <t xml:space="preserve">Corn yield, acreage, price by state/county/year</t>
  </si>
  <si>
    <t xml:space="preserve">Free API key: quickstats.nass.usda.gov/api</t>
  </si>
  <si>
    <t xml:space="preserve">Public USDA data; cite 'USDA National Agricultural Statistics Service'</t>
  </si>
  <si>
    <t xml:space="preserve">Some values suppressed for privacy; data lags 6-12 months</t>
  </si>
  <si>
    <t xml:space="preserve">USDA NRCS Soil Data Access (SSURGO)</t>
  </si>
  <si>
    <t xml:space="preserve">Soil layers by location: texture, organic matter, pH, CEC, drainage</t>
  </si>
  <si>
    <t xml:space="preserve">Public web service (sdmdataaccess.nrcs.usda.gov); bulk download via Web Soil Survey</t>
  </si>
  <si>
    <t xml:space="preserve">Federal data; service has no uptime guarantee</t>
  </si>
  <si>
    <t xml:space="preserve">US only; map-unit averages</t>
  </si>
  <si>
    <t xml:space="preserve">ISRIC SoilGrids</t>
  </si>
  <si>
    <t xml:space="preserve">Global 250 m maps: pH, organic carbon, texture, bulk density, CEC, nitrogen at six depths</t>
  </si>
  <si>
    <t xml:space="preserve">GeoTIFF downloads at files.isric.org</t>
  </si>
  <si>
    <t xml:space="preserve">CC BY 4.0 (attribution required)</t>
  </si>
  <si>
    <t xml:space="preserve">ML-predicted; less reliable where few soil profiles. REST API currently paused.</t>
  </si>
  <si>
    <t xml:space="preserve">Weather (NASA POWER / NOAA)</t>
  </si>
  <si>
    <t xml:space="preserve">Rainfall, temperature</t>
  </si>
  <si>
    <t xml:space="preserve">Not verified</t>
  </si>
  <si>
    <t xml:space="preserve">Candidates only; confirm terms before use</t>
  </si>
  <si>
    <t xml:space="preserve">University nutrient guides (e.g. Iowa State PM 1688, Michigan State E2904)</t>
  </si>
  <si>
    <t xml:space="preserve">P, K, lime, N interpretation tables</t>
  </si>
  <si>
    <t xml:space="preserve">Web / PDF</t>
  </si>
  <si>
    <t xml:space="preserve">University copyright; check reuse terms</t>
  </si>
  <si>
    <t xml:space="preserve">Use as basis for rules; do not copy tables wholesale</t>
  </si>
  <si>
    <t xml:space="preserve">min</t>
  </si>
  <si>
    <t xml:space="preserve">max</t>
  </si>
  <si>
    <t xml:space="preserve">unit</t>
  </si>
  <si>
    <t xml:space="preserve">note</t>
  </si>
  <si>
    <t xml:space="preserve">Soil depth</t>
  </si>
  <si>
    <t xml:space="preserve">ft</t>
  </si>
  <si>
    <t xml:space="preserve">Ideal; corn tolerates less</t>
  </si>
  <si>
    <t xml:space="preserve">Growing temperature</t>
  </si>
  <si>
    <t xml:space="preserve">deg F</t>
  </si>
  <si>
    <t xml:space="preserve">Warm, sunny weather</t>
  </si>
  <si>
    <t xml:space="preserve">Water in growing season</t>
  </si>
  <si>
    <t xml:space="preserve">Rain or irrigation, well distributed</t>
  </si>
  <si>
    <t xml:space="preserve">Frost-free days</t>
  </si>
  <si>
    <t xml:space="preserve">days</t>
  </si>
  <si>
    <t xml:space="preserve">Soil composition: mineral particles</t>
  </si>
  <si>
    <t xml:space="preserve">fraction</t>
  </si>
  <si>
    <t xml:space="preserve">Approx. one-half</t>
  </si>
  <si>
    <t xml:space="preserve">Soil composition: water</t>
  </si>
  <si>
    <t xml:space="preserve">Approx. one-fourth</t>
  </si>
  <si>
    <t xml:space="preserve">Soil composition: air</t>
  </si>
  <si>
    <t xml:space="preserve">Soil composition: organic matter</t>
  </si>
  <si>
    <t xml:space="preserve">'A few percent'; no target given</t>
  </si>
  <si>
    <t xml:space="preserve">Source: EcoFarming Daily, 'Soil Requirements for Growing Corn' (excerpt from How to Grow Top Quality Corn by Dr. Harold Willis). Qualitative needs: medium-textured, loose, well-drained, high water-holding capacity, high humus.</t>
  </si>
  <si>
    <t xml:space="preserve">Not in source: soil pH, nutrient rates, planting soil temperature, planting depth/spacing, organic matter target.</t>
  </si>
  <si>
    <t xml:space="preserve">#</t>
  </si>
  <si>
    <t xml:space="preserve">question</t>
  </si>
  <si>
    <t xml:space="preserve">owner</t>
  </si>
  <si>
    <t xml:space="preserve">status</t>
  </si>
  <si>
    <t xml:space="preserve">Calibrate tier weights, age penalty, and missing-method penalty with an agronomist and real farm data</t>
  </si>
  <si>
    <t xml:space="preserve">Agronomy</t>
  </si>
  <si>
    <t xml:space="preserve">Define category cutoffs for kit results (very low to high) by region; confirm reuse terms for extension tables</t>
  </si>
  <si>
    <t xml:space="preserve">Agronomy / Legal</t>
  </si>
  <si>
    <t xml:space="preserve">Add timing inputs: sample season, days since last amendment application</t>
  </si>
  <si>
    <t xml:space="preserve">Product</t>
  </si>
  <si>
    <t xml:space="preserve">Verify weather data source and license (NASA POWER / NOAA)</t>
  </si>
  <si>
    <t xml:space="preserve">Data engineering</t>
  </si>
  <si>
    <t xml:space="preserve">Decide handling for non-US fields (SSURGO is US only; SoilGrids fallback)</t>
  </si>
  <si>
    <t xml:space="preserve">Validate SDA query and NASS pull script against live services (script was not tested)</t>
  </si>
  <si>
    <t xml:space="preserve">Define units standard (ppm vs lb/ac) and conversion rules per lab method</t>
  </si>
  <si>
    <t xml:space="preserve">profile_field</t>
  </si>
  <si>
    <t xml:space="preserve">how derived</t>
  </si>
  <si>
    <t xml:space="preserve">feeds (practice logic)</t>
  </si>
  <si>
    <t xml:space="preserve">location.lat / lon</t>
  </si>
  <si>
    <t xml:space="preserve">degrees</t>
  </si>
  <si>
    <t xml:space="preserve">Farmer entry</t>
  </si>
  <si>
    <t xml:space="preserve">Pin or geocoded address</t>
  </si>
  <si>
    <t xml:space="preserve">All lookups</t>
  </si>
  <si>
    <t xml:space="preserve">soil.map_unit_component</t>
  </si>
  <si>
    <t xml:space="preserve">text</t>
  </si>
  <si>
    <t xml:space="preserve">SSURGO (Soil Data Access)</t>
  </si>
  <si>
    <t xml:space="preserve">Largest component of the map unit at the point</t>
  </si>
  <si>
    <t xml:space="preserve">Context; typical soil of the area</t>
  </si>
  <si>
    <t xml:space="preserve">soil.drainage_class</t>
  </si>
  <si>
    <t xml:space="preserve">SSURGO</t>
  </si>
  <si>
    <t xml:space="preserve">component.drainagecl</t>
  </si>
  <si>
    <t xml:space="preserve">Aeration/drainage advice</t>
  </si>
  <si>
    <t xml:space="preserve">soil.slope_pct</t>
  </si>
  <si>
    <t xml:space="preserve">component.slope_r</t>
  </si>
  <si>
    <t xml:space="preserve">Erosion risk; tillage and cover crop choice</t>
  </si>
  <si>
    <t xml:space="preserve">soil.hydrologic_group</t>
  </si>
  <si>
    <t xml:space="preserve">A/B/C/D</t>
  </si>
  <si>
    <t xml:space="preserve">component.hydgrp</t>
  </si>
  <si>
    <t xml:space="preserve">Runoff and infiltration tendency</t>
  </si>
  <si>
    <t xml:space="preserve">soil.top_0_30cm.organic_matter_pct</t>
  </si>
  <si>
    <t xml:space="preserve">Thickness-weighted average of layers 0-30 cm</t>
  </si>
  <si>
    <t xml:space="preserve">Typical OM vs farmer's value</t>
  </si>
  <si>
    <t xml:space="preserve">soil.top_0_30cm.ph</t>
  </si>
  <si>
    <t xml:space="preserve">pH</t>
  </si>
  <si>
    <t xml:space="preserve">Same</t>
  </si>
  <si>
    <t xml:space="preserve">Lime flag (direction only)</t>
  </si>
  <si>
    <t xml:space="preserve">soil.top_0_30cm.cec_meq_100g</t>
  </si>
  <si>
    <t xml:space="preserve">soil.top_0_30cm.clay/sand/silt_pct</t>
  </si>
  <si>
    <t xml:space="preserve">Texture class</t>
  </si>
  <si>
    <t xml:space="preserve">climate.frost.last_spring_frost (p10/p50/p90)</t>
  </si>
  <si>
    <t xml:space="preserve">MM-DD</t>
  </si>
  <si>
    <t xml:space="preserve">NASA POWER</t>
  </si>
  <si>
    <t xml:space="preserve">Last day Tmin &lt;= 0 C before Jul 1, per year, percentiles over ~30 yrs</t>
  </si>
  <si>
    <t xml:space="preserve">Planting windows; cover crop termination</t>
  </si>
  <si>
    <t xml:space="preserve">climate.frost.first_fall_frost (p10/p50/p90)</t>
  </si>
  <si>
    <t xml:space="preserve">First day Tmin &lt;= 0 C after Jul 1, per year, percentiles</t>
  </si>
  <si>
    <t xml:space="preserve">Fall cover crop establishment window</t>
  </si>
  <si>
    <t xml:space="preserve">climate.frost.frost_free_days (p10/p50/p90)</t>
  </si>
  <si>
    <t xml:space="preserve">First fall frost minus last spring frost</t>
  </si>
  <si>
    <t xml:space="preserve">Hybrid maturity fit (corn needs 130+ per source article)</t>
  </si>
  <si>
    <t xml:space="preserve">climate.corn_gdd.seasonal_gdd (p10/p50/p90)</t>
  </si>
  <si>
    <t xml:space="preserve">GDD (F)</t>
  </si>
  <si>
    <t xml:space="preserve">86/50 F method, May 1 - Sep 30</t>
  </si>
  <si>
    <t xml:space="preserve">Hybrid maturity fit</t>
  </si>
  <si>
    <t xml:space="preserve">climate.rainfall.monthly_mean_mm / annual_mean_mm</t>
  </si>
  <si>
    <t xml:space="preserve">mm</t>
  </si>
  <si>
    <t xml:space="preserve">Mean of monthly sums over ~30 yrs</t>
  </si>
  <si>
    <t xml:space="preserve">Erosion/leaching windows; irrigation need</t>
  </si>
  <si>
    <t xml:space="preserve">climate.winter.winter_mean_tmin_c</t>
  </si>
  <si>
    <t xml:space="preserve">deg C</t>
  </si>
  <si>
    <t xml:space="preserve">Mean Tmin Dec-Feb</t>
  </si>
  <si>
    <t xml:space="preserve">Cover crop winter survival</t>
  </si>
  <si>
    <t xml:space="preserve">climate.winter.days_per_year_tmin_below_minus10c</t>
  </si>
  <si>
    <t xml:space="preserve">Days per year with Tmin &lt;= -10 C</t>
  </si>
  <si>
    <t xml:space="preserve">confidence_tier</t>
  </si>
  <si>
    <t xml:space="preserve">System</t>
  </si>
  <si>
    <t xml:space="preserve">Always 'auto' (0.6 base confidence on Tiers sheet)</t>
  </si>
  <si>
    <t xml:space="preserve">Confidence scoring</t>
  </si>
  <si>
    <t xml:space="preserve">frost_threshold_c</t>
  </si>
  <si>
    <t xml:space="preserve">Tmin at or below this counts as frost</t>
  </si>
  <si>
    <t xml:space="preserve">history_years</t>
  </si>
  <si>
    <t xml:space="preserve">Years of weather history used (most recent complete years)</t>
  </si>
  <si>
    <t xml:space="preserve">min_valid_fraction</t>
  </si>
  <si>
    <t xml:space="preserve">Skip years with more than 5% missing days</t>
  </si>
  <si>
    <t xml:space="preserve">gdd_base_f</t>
  </si>
  <si>
    <t xml:space="preserve">Corn GDD lower limit (86/50 method)</t>
  </si>
  <si>
    <t xml:space="preserve">gdd_cap_f</t>
  </si>
  <si>
    <t xml:space="preserve">Corn GDD upper limit (86/50 method)</t>
  </si>
  <si>
    <t xml:space="preserve">gdd_window</t>
  </si>
  <si>
    <t xml:space="preserve">May 1 - Sep 30</t>
  </si>
  <si>
    <t xml:space="preserve">Accumulation period</t>
  </si>
  <si>
    <t xml:space="preserve">cold_day_threshold_c</t>
  </si>
  <si>
    <t xml:space="preserve">Used for winter severity day count</t>
  </si>
  <si>
    <t xml:space="preserve">power_missing_value</t>
  </si>
  <si>
    <t xml:space="preserve">Treat as missing and drop (per third-party docs; confirm in NASA POWER docs)</t>
  </si>
  <si>
    <t xml:space="preserve">All values are placeholder assumptions to be confirmed by an agronomist. Frost from gridded model data approximates station records.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</si>
</sst>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3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3" customFormat="false" ht="61.5" hidden="false" customHeight="true" outlineLevel="0" collapsed="false">
      <c r="A3" s="3" t="s">
        <v>1</v>
      </c>
      <c r="B3" s="4" t="s">
        <v>2</v>
      </c>
    </row>
    <row r="4" customFormat="false" ht="61.5" hidden="false" customHeight="true" outlineLevel="0" collapsed="false">
      <c r="A4" s="3" t="s">
        <v>3</v>
      </c>
      <c r="B4" s="4" t="s">
        <v>4</v>
      </c>
    </row>
    <row r="5" customFormat="false" ht="61.5" hidden="false" customHeight="true" outlineLevel="0" collapsed="false">
      <c r="A5" s="3" t="s">
        <v>5</v>
      </c>
      <c r="B5" s="4" t="s">
        <v>6</v>
      </c>
    </row>
    <row r="6" customFormat="false" ht="61.5" hidden="false" customHeight="true" outlineLevel="0" collapsed="false">
      <c r="A6" s="3" t="s">
        <v>7</v>
      </c>
      <c r="B6" s="4" t="s">
        <v>8</v>
      </c>
    </row>
    <row r="7" customFormat="false" ht="61.5" hidden="false" customHeight="true" outlineLevel="0" collapsed="false">
      <c r="A7" s="3" t="s">
        <v>9</v>
      </c>
      <c r="B7" s="4" t="s">
        <v>10</v>
      </c>
    </row>
    <row r="8" customFormat="false" ht="61.5" hidden="false" customHeight="true" outlineLevel="0" collapsed="false">
      <c r="A8" s="3" t="s">
        <v>11</v>
      </c>
      <c r="B8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44"/>
    <col collapsed="false" customWidth="true" hidden="false" outlineLevel="0" max="8" min="8" style="1" width="22"/>
    <col collapsed="false" customWidth="true" hidden="false" outlineLevel="0" max="9" min="9" style="1" width="40"/>
    <col collapsed="false" customWidth="true" hidden="false" outlineLevel="0" max="10" min="10" style="1" width="36"/>
  </cols>
  <sheetData>
    <row r="1" customFormat="false" ht="1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customFormat="false" ht="23.25" hidden="false" customHeight="tru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</row>
    <row r="3" customFormat="false" ht="15" hidden="false" customHeight="true" outlineLevel="0" collapsed="false">
      <c r="A3" s="6" t="s">
        <v>33</v>
      </c>
      <c r="B3" s="6" t="s">
        <v>24</v>
      </c>
      <c r="C3" s="6" t="s">
        <v>34</v>
      </c>
      <c r="D3" s="6" t="s">
        <v>35</v>
      </c>
      <c r="E3" s="6" t="s">
        <v>27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</row>
    <row r="4" customFormat="false" ht="15" hidden="false" customHeight="true" outlineLevel="0" collapsed="false">
      <c r="A4" s="6" t="s">
        <v>41</v>
      </c>
      <c r="B4" s="6" t="s">
        <v>24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39</v>
      </c>
      <c r="J4" s="6" t="s">
        <v>48</v>
      </c>
    </row>
    <row r="5" customFormat="false" ht="23.25" hidden="false" customHeight="true" outlineLevel="0" collapsed="false">
      <c r="A5" s="6" t="s">
        <v>49</v>
      </c>
      <c r="B5" s="6" t="s">
        <v>24</v>
      </c>
      <c r="C5" s="6" t="s">
        <v>50</v>
      </c>
      <c r="D5" s="6" t="s">
        <v>35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56</v>
      </c>
    </row>
    <row r="6" customFormat="false" ht="15" hidden="false" customHeight="true" outlineLevel="0" collapsed="false">
      <c r="A6" s="6" t="s">
        <v>57</v>
      </c>
      <c r="B6" s="6" t="s">
        <v>24</v>
      </c>
      <c r="C6" s="6" t="s">
        <v>58</v>
      </c>
      <c r="D6" s="6" t="s">
        <v>35</v>
      </c>
      <c r="E6" s="6" t="s">
        <v>51</v>
      </c>
      <c r="F6" s="6" t="s">
        <v>52</v>
      </c>
      <c r="G6" s="6" t="s">
        <v>53</v>
      </c>
      <c r="H6" s="6" t="s">
        <v>59</v>
      </c>
      <c r="I6" s="6" t="s">
        <v>60</v>
      </c>
      <c r="J6" s="6" t="s">
        <v>61</v>
      </c>
    </row>
    <row r="7" customFormat="false" ht="15" hidden="false" customHeight="true" outlineLevel="0" collapsed="false">
      <c r="A7" s="6" t="s">
        <v>62</v>
      </c>
      <c r="B7" s="6" t="s">
        <v>24</v>
      </c>
      <c r="C7" s="6" t="s">
        <v>63</v>
      </c>
      <c r="D7" s="6" t="s">
        <v>35</v>
      </c>
      <c r="E7" s="6" t="s">
        <v>64</v>
      </c>
      <c r="F7" s="6" t="s">
        <v>52</v>
      </c>
      <c r="G7" s="6" t="s">
        <v>65</v>
      </c>
      <c r="H7" s="6" t="s">
        <v>66</v>
      </c>
      <c r="I7" s="6" t="s">
        <v>31</v>
      </c>
      <c r="J7" s="6" t="s">
        <v>67</v>
      </c>
    </row>
    <row r="8" customFormat="false" ht="15" hidden="false" customHeight="true" outlineLevel="0" collapsed="false">
      <c r="A8" s="6" t="s">
        <v>68</v>
      </c>
      <c r="B8" s="6" t="s">
        <v>24</v>
      </c>
      <c r="C8" s="6" t="s">
        <v>69</v>
      </c>
      <c r="D8" s="6" t="s">
        <v>35</v>
      </c>
      <c r="E8" s="6" t="s">
        <v>70</v>
      </c>
      <c r="F8" s="6" t="s">
        <v>71</v>
      </c>
      <c r="G8" s="6"/>
      <c r="H8" s="6" t="s">
        <v>66</v>
      </c>
      <c r="I8" s="6"/>
      <c r="J8" s="6" t="s">
        <v>72</v>
      </c>
    </row>
    <row r="9" customFormat="false" ht="15" hidden="false" customHeight="true" outlineLevel="0" collapsed="false">
      <c r="A9" s="6" t="s">
        <v>73</v>
      </c>
      <c r="B9" s="6" t="s">
        <v>24</v>
      </c>
      <c r="C9" s="6" t="s">
        <v>74</v>
      </c>
      <c r="D9" s="6" t="s">
        <v>35</v>
      </c>
      <c r="E9" s="6" t="s">
        <v>64</v>
      </c>
      <c r="F9" s="6" t="s">
        <v>36</v>
      </c>
      <c r="G9" s="6" t="s">
        <v>75</v>
      </c>
      <c r="H9" s="6" t="s">
        <v>66</v>
      </c>
      <c r="I9" s="6" t="s">
        <v>76</v>
      </c>
      <c r="J9" s="6" t="s">
        <v>77</v>
      </c>
    </row>
    <row r="10" customFormat="false" ht="15" hidden="false" customHeight="true" outlineLevel="0" collapsed="false">
      <c r="A10" s="6" t="s">
        <v>78</v>
      </c>
      <c r="B10" s="6" t="s">
        <v>24</v>
      </c>
      <c r="C10" s="6" t="s">
        <v>79</v>
      </c>
      <c r="D10" s="6" t="s">
        <v>80</v>
      </c>
      <c r="E10" s="6" t="s">
        <v>64</v>
      </c>
      <c r="F10" s="6" t="s">
        <v>36</v>
      </c>
      <c r="G10" s="6"/>
      <c r="H10" s="6" t="s">
        <v>66</v>
      </c>
      <c r="I10" s="6"/>
      <c r="J10" s="6" t="s">
        <v>81</v>
      </c>
    </row>
    <row r="11" customFormat="false" ht="34.5" hidden="false" customHeight="true" outlineLevel="0" collapsed="false">
      <c r="A11" s="6" t="s">
        <v>82</v>
      </c>
      <c r="B11" s="6" t="s">
        <v>83</v>
      </c>
      <c r="C11" s="6" t="s">
        <v>84</v>
      </c>
      <c r="D11" s="6" t="s">
        <v>85</v>
      </c>
      <c r="E11" s="6" t="s">
        <v>86</v>
      </c>
      <c r="F11" s="6" t="s">
        <v>87</v>
      </c>
      <c r="G11" s="6" t="s">
        <v>88</v>
      </c>
      <c r="H11" s="6" t="s">
        <v>47</v>
      </c>
      <c r="I11" s="6"/>
      <c r="J11" s="6" t="s">
        <v>89</v>
      </c>
    </row>
    <row r="12" customFormat="false" ht="23.25" hidden="false" customHeight="true" outlineLevel="0" collapsed="false">
      <c r="A12" s="6" t="s">
        <v>90</v>
      </c>
      <c r="B12" s="6" t="s">
        <v>83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95</v>
      </c>
      <c r="H12" s="6" t="s">
        <v>47</v>
      </c>
      <c r="I12" s="6"/>
      <c r="J12" s="6" t="s">
        <v>96</v>
      </c>
    </row>
    <row r="13" customFormat="false" ht="15" hidden="false" customHeight="true" outlineLevel="0" collapsed="false">
      <c r="A13" s="6" t="s">
        <v>97</v>
      </c>
      <c r="B13" s="6" t="s">
        <v>83</v>
      </c>
      <c r="C13" s="6" t="s">
        <v>98</v>
      </c>
      <c r="D13" s="6" t="s">
        <v>35</v>
      </c>
      <c r="E13" s="6" t="s">
        <v>99</v>
      </c>
      <c r="F13" s="6" t="s">
        <v>100</v>
      </c>
      <c r="G13" s="6" t="s">
        <v>101</v>
      </c>
      <c r="H13" s="6" t="s">
        <v>66</v>
      </c>
      <c r="I13" s="6"/>
      <c r="J13" s="6" t="s">
        <v>102</v>
      </c>
    </row>
    <row r="14" customFormat="false" ht="15" hidden="false" customHeight="true" outlineLevel="0" collapsed="false">
      <c r="A14" s="6" t="s">
        <v>103</v>
      </c>
      <c r="B14" s="6" t="s">
        <v>83</v>
      </c>
      <c r="C14" s="6" t="s">
        <v>104</v>
      </c>
      <c r="D14" s="6" t="s">
        <v>35</v>
      </c>
      <c r="E14" s="6" t="s">
        <v>105</v>
      </c>
      <c r="F14" s="6" t="s">
        <v>106</v>
      </c>
      <c r="G14" s="6" t="s">
        <v>107</v>
      </c>
      <c r="H14" s="6" t="s">
        <v>66</v>
      </c>
      <c r="I14" s="6"/>
      <c r="J14" s="6" t="s">
        <v>108</v>
      </c>
    </row>
    <row r="15" customFormat="false" ht="15" hidden="false" customHeight="true" outlineLevel="0" collapsed="false">
      <c r="A15" s="6" t="s">
        <v>109</v>
      </c>
      <c r="B15" s="6" t="s">
        <v>83</v>
      </c>
      <c r="C15" s="6" t="s">
        <v>110</v>
      </c>
      <c r="D15" s="6" t="s">
        <v>85</v>
      </c>
      <c r="E15" s="6" t="s">
        <v>111</v>
      </c>
      <c r="F15" s="6" t="s">
        <v>106</v>
      </c>
      <c r="G15" s="6" t="s">
        <v>112</v>
      </c>
      <c r="H15" s="6" t="s">
        <v>66</v>
      </c>
      <c r="I15" s="6"/>
      <c r="J15" s="6" t="s">
        <v>113</v>
      </c>
    </row>
    <row r="16" customFormat="false" ht="15" hidden="false" customHeight="true" outlineLevel="0" collapsed="false">
      <c r="A16" s="6" t="s">
        <v>114</v>
      </c>
      <c r="B16" s="6" t="s">
        <v>83</v>
      </c>
      <c r="C16" s="6" t="s">
        <v>115</v>
      </c>
      <c r="D16" s="6" t="s">
        <v>85</v>
      </c>
      <c r="E16" s="6" t="s">
        <v>116</v>
      </c>
      <c r="F16" s="6" t="s">
        <v>117</v>
      </c>
      <c r="G16" s="6"/>
      <c r="H16" s="6" t="s">
        <v>66</v>
      </c>
      <c r="I16" s="6"/>
      <c r="J16" s="6" t="s">
        <v>113</v>
      </c>
    </row>
    <row r="17" customFormat="false" ht="15" hidden="false" customHeight="true" outlineLevel="0" collapsed="false">
      <c r="A17" s="6" t="s">
        <v>118</v>
      </c>
      <c r="B17" s="6" t="s">
        <v>83</v>
      </c>
      <c r="C17" s="6" t="s">
        <v>119</v>
      </c>
      <c r="D17" s="6" t="s">
        <v>85</v>
      </c>
      <c r="E17" s="6" t="s">
        <v>120</v>
      </c>
      <c r="F17" s="6" t="s">
        <v>117</v>
      </c>
      <c r="G17" s="6"/>
      <c r="H17" s="6" t="s">
        <v>47</v>
      </c>
      <c r="I17" s="6"/>
      <c r="J17" s="6" t="s">
        <v>121</v>
      </c>
    </row>
    <row r="18" customFormat="false" ht="15" hidden="false" customHeight="true" outlineLevel="0" collapsed="false">
      <c r="A18" s="6" t="s">
        <v>122</v>
      </c>
      <c r="B18" s="6" t="s">
        <v>83</v>
      </c>
      <c r="C18" s="6" t="s">
        <v>123</v>
      </c>
      <c r="D18" s="6" t="s">
        <v>85</v>
      </c>
      <c r="E18" s="6"/>
      <c r="F18" s="6" t="s">
        <v>124</v>
      </c>
      <c r="G18" s="6"/>
      <c r="H18" s="6" t="s">
        <v>47</v>
      </c>
      <c r="I18" s="6"/>
      <c r="J18" s="6" t="s">
        <v>125</v>
      </c>
    </row>
    <row r="19" customFormat="false" ht="15" hidden="false" customHeight="true" outlineLevel="0" collapsed="false">
      <c r="A19" s="6" t="s">
        <v>126</v>
      </c>
      <c r="B19" s="6" t="s">
        <v>127</v>
      </c>
      <c r="C19" s="6" t="s">
        <v>128</v>
      </c>
      <c r="D19" s="6" t="s">
        <v>35</v>
      </c>
      <c r="E19" s="6" t="s">
        <v>129</v>
      </c>
      <c r="F19" s="6" t="s">
        <v>52</v>
      </c>
      <c r="G19" s="6"/>
      <c r="H19" s="6" t="s">
        <v>66</v>
      </c>
      <c r="I19" s="6" t="s">
        <v>130</v>
      </c>
      <c r="J19" s="6" t="s">
        <v>131</v>
      </c>
    </row>
    <row r="20" customFormat="false" ht="15" hidden="false" customHeight="true" outlineLevel="0" collapsed="false">
      <c r="A20" s="6" t="s">
        <v>132</v>
      </c>
      <c r="B20" s="6" t="s">
        <v>127</v>
      </c>
      <c r="C20" s="6" t="s">
        <v>133</v>
      </c>
      <c r="D20" s="6" t="s">
        <v>35</v>
      </c>
      <c r="E20" s="6" t="s">
        <v>129</v>
      </c>
      <c r="F20" s="6" t="s">
        <v>36</v>
      </c>
      <c r="G20" s="6"/>
      <c r="H20" s="6" t="s">
        <v>66</v>
      </c>
      <c r="I20" s="6"/>
      <c r="J20" s="6" t="s">
        <v>134</v>
      </c>
    </row>
    <row r="21" customFormat="false" ht="15" hidden="false" customHeight="true" outlineLevel="0" collapsed="false">
      <c r="A21" s="6" t="s">
        <v>135</v>
      </c>
      <c r="B21" s="6" t="s">
        <v>127</v>
      </c>
      <c r="C21" s="6" t="s">
        <v>136</v>
      </c>
      <c r="D21" s="6" t="s">
        <v>137</v>
      </c>
      <c r="E21" s="6" t="s">
        <v>138</v>
      </c>
      <c r="F21" s="6" t="s">
        <v>100</v>
      </c>
      <c r="G21" s="6" t="s">
        <v>139</v>
      </c>
      <c r="H21" s="6" t="s">
        <v>66</v>
      </c>
      <c r="I21" s="6"/>
      <c r="J21" s="6" t="s">
        <v>131</v>
      </c>
    </row>
    <row r="22" customFormat="false" ht="15" hidden="false" customHeight="true" outlineLevel="0" collapsed="false">
      <c r="A22" s="6" t="s">
        <v>140</v>
      </c>
      <c r="B22" s="6" t="s">
        <v>127</v>
      </c>
      <c r="C22" s="6" t="s">
        <v>141</v>
      </c>
      <c r="D22" s="6" t="s">
        <v>85</v>
      </c>
      <c r="E22" s="6" t="s">
        <v>142</v>
      </c>
      <c r="F22" s="6" t="s">
        <v>94</v>
      </c>
      <c r="G22" s="6" t="s">
        <v>143</v>
      </c>
      <c r="H22" s="6" t="s">
        <v>66</v>
      </c>
      <c r="I22" s="6"/>
      <c r="J22" s="6" t="s">
        <v>131</v>
      </c>
    </row>
    <row r="23" customFormat="false" ht="15" hidden="false" customHeight="true" outlineLevel="0" collapsed="false">
      <c r="A23" s="6" t="s">
        <v>144</v>
      </c>
      <c r="B23" s="6" t="s">
        <v>127</v>
      </c>
      <c r="C23" s="6" t="s">
        <v>145</v>
      </c>
      <c r="D23" s="6" t="s">
        <v>85</v>
      </c>
      <c r="E23" s="6" t="s">
        <v>146</v>
      </c>
      <c r="F23" s="6" t="s">
        <v>117</v>
      </c>
      <c r="G23" s="6" t="s">
        <v>147</v>
      </c>
      <c r="H23" s="6" t="s">
        <v>66</v>
      </c>
      <c r="I23" s="6"/>
      <c r="J23" s="6" t="s">
        <v>148</v>
      </c>
    </row>
    <row r="24" customFormat="false" ht="23.25" hidden="false" customHeight="true" outlineLevel="0" collapsed="false">
      <c r="A24" s="6" t="s">
        <v>149</v>
      </c>
      <c r="B24" s="6" t="s">
        <v>127</v>
      </c>
      <c r="C24" s="6" t="s">
        <v>150</v>
      </c>
      <c r="D24" s="6" t="s">
        <v>85</v>
      </c>
      <c r="E24" s="6" t="s">
        <v>151</v>
      </c>
      <c r="F24" s="6" t="s">
        <v>117</v>
      </c>
      <c r="G24" s="6"/>
      <c r="H24" s="6" t="s">
        <v>66</v>
      </c>
      <c r="I24" s="6"/>
      <c r="J24" s="6" t="s">
        <v>152</v>
      </c>
    </row>
    <row r="25" customFormat="false" ht="15" hidden="false" customHeight="true" outlineLevel="0" collapsed="false">
      <c r="A25" s="6" t="s">
        <v>153</v>
      </c>
      <c r="B25" s="6" t="s">
        <v>154</v>
      </c>
      <c r="C25" s="6" t="s">
        <v>155</v>
      </c>
      <c r="D25" s="6" t="s">
        <v>156</v>
      </c>
      <c r="E25" s="6"/>
      <c r="F25" s="6" t="s">
        <v>157</v>
      </c>
      <c r="G25" s="6"/>
      <c r="H25" s="6" t="s">
        <v>158</v>
      </c>
      <c r="I25" s="6"/>
      <c r="J25" s="6" t="s">
        <v>159</v>
      </c>
    </row>
    <row r="26" customFormat="false" ht="23.25" hidden="false" customHeight="true" outlineLevel="0" collapsed="false">
      <c r="A26" s="6" t="s">
        <v>160</v>
      </c>
      <c r="B26" s="6" t="s">
        <v>154</v>
      </c>
      <c r="C26" s="6" t="s">
        <v>161</v>
      </c>
      <c r="D26" s="6" t="s">
        <v>162</v>
      </c>
      <c r="E26" s="6" t="s">
        <v>163</v>
      </c>
      <c r="F26" s="6" t="s">
        <v>157</v>
      </c>
      <c r="G26" s="6"/>
      <c r="H26" s="6" t="s">
        <v>158</v>
      </c>
      <c r="I26" s="6"/>
      <c r="J26" s="6" t="s">
        <v>164</v>
      </c>
    </row>
    <row r="27" customFormat="false" ht="15" hidden="false" customHeight="true" outlineLevel="0" collapsed="false">
      <c r="A27" s="6" t="s">
        <v>165</v>
      </c>
      <c r="B27" s="6" t="s">
        <v>154</v>
      </c>
      <c r="C27" s="6" t="s">
        <v>166</v>
      </c>
      <c r="D27" s="6" t="s">
        <v>167</v>
      </c>
      <c r="E27" s="6" t="s">
        <v>168</v>
      </c>
      <c r="F27" s="6" t="s">
        <v>157</v>
      </c>
      <c r="G27" s="6"/>
      <c r="H27" s="6" t="s">
        <v>66</v>
      </c>
      <c r="I27" s="6"/>
      <c r="J27" s="6" t="s">
        <v>169</v>
      </c>
    </row>
    <row r="28" customFormat="false" ht="23.25" hidden="false" customHeight="true" outlineLevel="0" collapsed="false">
      <c r="A28" s="6" t="s">
        <v>170</v>
      </c>
      <c r="B28" s="6" t="s">
        <v>154</v>
      </c>
      <c r="C28" s="6" t="s">
        <v>171</v>
      </c>
      <c r="D28" s="6" t="s">
        <v>172</v>
      </c>
      <c r="E28" s="6" t="s">
        <v>173</v>
      </c>
      <c r="F28" s="6" t="s">
        <v>157</v>
      </c>
      <c r="G28" s="6"/>
      <c r="H28" s="6" t="s">
        <v>158</v>
      </c>
      <c r="I28" s="6"/>
      <c r="J28" s="6" t="s">
        <v>174</v>
      </c>
    </row>
    <row r="29" customFormat="false" ht="15" hidden="false" customHeight="true" outlineLevel="0" collapsed="false">
      <c r="A29" s="6" t="s">
        <v>175</v>
      </c>
      <c r="B29" s="6" t="s">
        <v>154</v>
      </c>
      <c r="C29" s="6" t="s">
        <v>176</v>
      </c>
      <c r="D29" s="6" t="s">
        <v>177</v>
      </c>
      <c r="E29" s="6" t="s">
        <v>178</v>
      </c>
      <c r="F29" s="6" t="s">
        <v>157</v>
      </c>
      <c r="G29" s="6"/>
      <c r="H29" s="6" t="s">
        <v>158</v>
      </c>
      <c r="I29" s="6"/>
      <c r="J29" s="6" t="s">
        <v>179</v>
      </c>
    </row>
    <row r="30" customFormat="false" ht="15" hidden="false" customHeight="true" outlineLevel="0" collapsed="false">
      <c r="A30" s="6" t="s">
        <v>180</v>
      </c>
      <c r="B30" s="6" t="s">
        <v>154</v>
      </c>
      <c r="C30" s="6" t="s">
        <v>181</v>
      </c>
      <c r="D30" s="6" t="s">
        <v>35</v>
      </c>
      <c r="E30" s="6" t="s">
        <v>178</v>
      </c>
      <c r="F30" s="6" t="s">
        <v>157</v>
      </c>
      <c r="G30" s="6"/>
      <c r="H30" s="6" t="s">
        <v>158</v>
      </c>
      <c r="I30" s="6"/>
      <c r="J30" s="6" t="s">
        <v>182</v>
      </c>
    </row>
    <row r="31" customFormat="false" ht="15" hidden="false" customHeight="true" outlineLevel="0" collapsed="false">
      <c r="A31" s="6" t="s">
        <v>183</v>
      </c>
      <c r="B31" s="6" t="s">
        <v>184</v>
      </c>
      <c r="C31" s="6" t="s">
        <v>185</v>
      </c>
      <c r="D31" s="6" t="s">
        <v>186</v>
      </c>
      <c r="E31" s="6"/>
      <c r="F31" s="6" t="s">
        <v>157</v>
      </c>
      <c r="G31" s="6" t="s">
        <v>187</v>
      </c>
      <c r="H31" s="6" t="s">
        <v>158</v>
      </c>
      <c r="I31" s="6"/>
      <c r="J31" s="6" t="s">
        <v>188</v>
      </c>
    </row>
    <row r="32" customFormat="false" ht="15" hidden="false" customHeight="true" outlineLevel="0" collapsed="false">
      <c r="A32" s="6" t="s">
        <v>189</v>
      </c>
      <c r="B32" s="6" t="s">
        <v>184</v>
      </c>
      <c r="C32" s="6" t="s">
        <v>190</v>
      </c>
      <c r="D32" s="6" t="s">
        <v>191</v>
      </c>
      <c r="E32" s="6"/>
      <c r="F32" s="6" t="s">
        <v>157</v>
      </c>
      <c r="G32" s="6"/>
      <c r="H32" s="6" t="s">
        <v>47</v>
      </c>
      <c r="I32" s="6"/>
      <c r="J32" s="6" t="s">
        <v>192</v>
      </c>
    </row>
    <row r="33" customFormat="false" ht="15" hidden="false" customHeight="true" outlineLevel="0" collapsed="false">
      <c r="A33" s="6" t="s">
        <v>193</v>
      </c>
      <c r="B33" s="6" t="s">
        <v>184</v>
      </c>
      <c r="C33" s="6" t="s">
        <v>194</v>
      </c>
      <c r="D33" s="6" t="s">
        <v>195</v>
      </c>
      <c r="E33" s="6"/>
      <c r="F33" s="6" t="s">
        <v>157</v>
      </c>
      <c r="G33" s="6"/>
      <c r="H33" s="6" t="s">
        <v>66</v>
      </c>
      <c r="I33" s="6"/>
      <c r="J33" s="6" t="s">
        <v>196</v>
      </c>
    </row>
  </sheetData>
  <autoFilter ref="A1:J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197</v>
      </c>
    </row>
    <row r="3" customFormat="false" ht="15" hidden="false" customHeight="true" outlineLevel="0" collapsed="false">
      <c r="A3" s="5" t="s">
        <v>198</v>
      </c>
      <c r="B3" s="5" t="s">
        <v>15</v>
      </c>
      <c r="C3" s="5" t="s">
        <v>199</v>
      </c>
      <c r="D3" s="5" t="s">
        <v>200</v>
      </c>
    </row>
    <row r="4" customFormat="false" ht="15" hidden="false" customHeight="true" outlineLevel="0" collapsed="false">
      <c r="A4" s="6" t="s">
        <v>36</v>
      </c>
      <c r="B4" s="6" t="s">
        <v>201</v>
      </c>
      <c r="C4" s="7" t="n">
        <v>1</v>
      </c>
      <c r="D4" s="6"/>
    </row>
    <row r="5" customFormat="false" ht="15" hidden="false" customHeight="true" outlineLevel="0" collapsed="false">
      <c r="A5" s="6" t="s">
        <v>100</v>
      </c>
      <c r="B5" s="6" t="s">
        <v>202</v>
      </c>
      <c r="C5" s="7" t="n">
        <v>0.7</v>
      </c>
      <c r="D5" s="6" t="s">
        <v>203</v>
      </c>
    </row>
    <row r="6" customFormat="false" ht="15" hidden="false" customHeight="true" outlineLevel="0" collapsed="false">
      <c r="A6" s="6" t="s">
        <v>204</v>
      </c>
      <c r="B6" s="6" t="s">
        <v>205</v>
      </c>
      <c r="C6" s="7" t="n">
        <v>0.6</v>
      </c>
      <c r="D6" s="6" t="s">
        <v>206</v>
      </c>
    </row>
    <row r="7" customFormat="false" ht="15" hidden="false" customHeight="true" outlineLevel="0" collapsed="false">
      <c r="A7" s="6" t="s">
        <v>207</v>
      </c>
      <c r="B7" s="6" t="s">
        <v>208</v>
      </c>
      <c r="C7" s="7" t="n">
        <v>0.5</v>
      </c>
      <c r="D7" s="6" t="s">
        <v>209</v>
      </c>
    </row>
    <row r="8" customFormat="false" ht="15" hidden="false" customHeight="true" outlineLevel="0" collapsed="false">
      <c r="A8" s="6" t="s">
        <v>117</v>
      </c>
      <c r="B8" s="6" t="s">
        <v>210</v>
      </c>
      <c r="C8" s="7" t="n">
        <v>0.35</v>
      </c>
      <c r="D8" s="6"/>
    </row>
    <row r="10" customFormat="false" ht="15" hidden="false" customHeight="true" outlineLevel="0" collapsed="false">
      <c r="A10" s="8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212</v>
      </c>
    </row>
    <row r="3" customFormat="false" ht="15" hidden="false" customHeight="true" outlineLevel="0" collapsed="false">
      <c r="A3" s="5" t="s">
        <v>213</v>
      </c>
      <c r="B3" s="5" t="s">
        <v>214</v>
      </c>
      <c r="C3" s="5" t="s">
        <v>215</v>
      </c>
    </row>
    <row r="4" customFormat="false" ht="15" hidden="false" customHeight="true" outlineLevel="0" collapsed="false">
      <c r="A4" s="6" t="s">
        <v>216</v>
      </c>
      <c r="B4" s="9" t="n">
        <v>3</v>
      </c>
      <c r="C4" s="6" t="s">
        <v>217</v>
      </c>
    </row>
    <row r="5" customFormat="false" ht="15" hidden="false" customHeight="true" outlineLevel="0" collapsed="false">
      <c r="A5" s="6" t="s">
        <v>218</v>
      </c>
      <c r="B5" s="9" t="n">
        <v>0.8</v>
      </c>
      <c r="C5" s="6" t="s">
        <v>219</v>
      </c>
    </row>
    <row r="6" customFormat="false" ht="15" hidden="false" customHeight="true" outlineLevel="0" collapsed="false">
      <c r="A6" s="6" t="s">
        <v>220</v>
      </c>
      <c r="B6" s="9" t="n">
        <v>0.7</v>
      </c>
      <c r="C6" s="6" t="s">
        <v>221</v>
      </c>
    </row>
    <row r="7" customFormat="false" ht="15" hidden="false" customHeight="true" outlineLevel="0" collapsed="false">
      <c r="A7" s="6" t="s">
        <v>222</v>
      </c>
      <c r="B7" s="9" t="n">
        <v>0.8</v>
      </c>
      <c r="C7" s="6" t="s">
        <v>223</v>
      </c>
    </row>
    <row r="8" customFormat="false" ht="15" hidden="false" customHeight="true" outlineLevel="0" collapsed="false">
      <c r="A8" s="6" t="s">
        <v>224</v>
      </c>
      <c r="B8" s="9" t="n">
        <v>0.5</v>
      </c>
      <c r="C8" s="6" t="s">
        <v>225</v>
      </c>
    </row>
    <row r="10" customFormat="false" ht="15" hidden="false" customHeight="true" outlineLevel="0" collapsed="false">
      <c r="A10" s="8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8"/>
    <col collapsed="false" customWidth="true" hidden="false" outlineLevel="0" max="4" min="3" style="1" width="60"/>
  </cols>
  <sheetData>
    <row r="1" customFormat="false" ht="15" hidden="false" customHeight="true" outlineLevel="0" collapsed="false">
      <c r="A1" s="5" t="s">
        <v>227</v>
      </c>
      <c r="B1" s="5" t="s">
        <v>228</v>
      </c>
      <c r="C1" s="5" t="s">
        <v>229</v>
      </c>
      <c r="D1" s="5" t="s">
        <v>230</v>
      </c>
    </row>
    <row r="2" customFormat="false" ht="15" hidden="false" customHeight="true" outlineLevel="0" collapsed="false">
      <c r="A2" s="6" t="s">
        <v>40</v>
      </c>
      <c r="B2" s="6" t="s">
        <v>231</v>
      </c>
      <c r="C2" s="6"/>
      <c r="D2" s="6" t="s">
        <v>232</v>
      </c>
    </row>
    <row r="3" customFormat="false" ht="15" hidden="false" customHeight="true" outlineLevel="0" collapsed="false">
      <c r="A3" s="6" t="s">
        <v>233</v>
      </c>
      <c r="B3" s="6" t="s">
        <v>234</v>
      </c>
      <c r="C3" s="6"/>
      <c r="D3" s="6" t="s">
        <v>232</v>
      </c>
    </row>
    <row r="4" customFormat="false" ht="15" hidden="false" customHeight="true" outlineLevel="0" collapsed="false">
      <c r="A4" s="6" t="s">
        <v>235</v>
      </c>
      <c r="B4" s="6" t="s">
        <v>236</v>
      </c>
      <c r="C4" s="6" t="s">
        <v>237</v>
      </c>
      <c r="D4" s="6" t="s">
        <v>238</v>
      </c>
    </row>
    <row r="5" customFormat="false" ht="15" hidden="false" customHeight="true" outlineLevel="0" collapsed="false">
      <c r="A5" s="6" t="s">
        <v>96</v>
      </c>
      <c r="B5" s="6" t="s">
        <v>239</v>
      </c>
      <c r="C5" s="6" t="s">
        <v>240</v>
      </c>
      <c r="D5" s="6" t="s">
        <v>241</v>
      </c>
    </row>
    <row r="6" customFormat="false" ht="23.25" hidden="false" customHeight="true" outlineLevel="0" collapsed="false">
      <c r="A6" s="6" t="s">
        <v>164</v>
      </c>
      <c r="B6" s="6" t="s">
        <v>242</v>
      </c>
      <c r="C6" s="6" t="s">
        <v>243</v>
      </c>
      <c r="D6" s="6" t="s">
        <v>244</v>
      </c>
    </row>
    <row r="7" customFormat="false" ht="23.25" hidden="false" customHeight="true" outlineLevel="0" collapsed="false">
      <c r="A7" s="6" t="s">
        <v>245</v>
      </c>
      <c r="B7" s="6" t="s">
        <v>246</v>
      </c>
      <c r="C7" s="6"/>
      <c r="D7" s="6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" t="s">
        <v>248</v>
      </c>
    </row>
    <row r="2" customFormat="false" ht="15" hidden="false" customHeight="true" outlineLevel="0" collapsed="false">
      <c r="A2" s="8" t="s">
        <v>249</v>
      </c>
    </row>
    <row r="4" customFormat="false" ht="15" hidden="false" customHeight="true" outlineLevel="0" collapsed="false">
      <c r="A4" s="5" t="s">
        <v>250</v>
      </c>
      <c r="B4" s="5" t="s">
        <v>251</v>
      </c>
      <c r="C4" s="5" t="s">
        <v>252</v>
      </c>
      <c r="D4" s="5" t="s">
        <v>253</v>
      </c>
      <c r="E4" s="5" t="s">
        <v>199</v>
      </c>
      <c r="F4" s="5" t="s">
        <v>254</v>
      </c>
      <c r="G4" s="5" t="s">
        <v>255</v>
      </c>
      <c r="H4" s="5" t="s">
        <v>256</v>
      </c>
    </row>
    <row r="5" customFormat="false" ht="15" hidden="false" customHeight="true" outlineLevel="0" collapsed="false">
      <c r="A5" s="10" t="s">
        <v>153</v>
      </c>
      <c r="B5" s="11" t="s">
        <v>100</v>
      </c>
      <c r="C5" s="11" t="n">
        <v>0</v>
      </c>
      <c r="D5" s="11" t="s">
        <v>257</v>
      </c>
      <c r="E5" s="12" t="n">
        <f aca="false">INDEX(Tiers!$C$4:$C$8,MATCH(B5,Tiers!$A$4:$A$8,0))</f>
        <v>0.7</v>
      </c>
      <c r="F5" s="12" t="n">
        <f aca="false">IF(C5&gt;Confidence_Rules!$B$4,Confidence_Rules!$B$5,1)</f>
        <v>1</v>
      </c>
      <c r="G5" s="12" t="n">
        <f aca="false">IF(D5="N",Confidence_Rules!$B$6,1)</f>
        <v>1</v>
      </c>
      <c r="H5" s="12" t="n">
        <f aca="false">E5*F5*G5</f>
        <v>0.7</v>
      </c>
    </row>
    <row r="6" customFormat="false" ht="15" hidden="false" customHeight="true" outlineLevel="0" collapsed="false">
      <c r="A6" s="10" t="s">
        <v>180</v>
      </c>
      <c r="B6" s="11" t="s">
        <v>100</v>
      </c>
      <c r="C6" s="11" t="n">
        <v>0</v>
      </c>
      <c r="D6" s="11" t="s">
        <v>257</v>
      </c>
      <c r="E6" s="12" t="n">
        <f aca="false">INDEX(Tiers!$C$4:$C$8,MATCH(B6,Tiers!$A$4:$A$8,0))</f>
        <v>0.7</v>
      </c>
      <c r="F6" s="12" t="n">
        <f aca="false">IF(C6&gt;Confidence_Rules!$B$4,Confidence_Rules!$B$5,1)</f>
        <v>1</v>
      </c>
      <c r="G6" s="12" t="n">
        <f aca="false">IF(D6="N",Confidence_Rules!$B$6,1)</f>
        <v>1</v>
      </c>
      <c r="H6" s="12" t="n">
        <f aca="false">E6*F6*G6</f>
        <v>0.7</v>
      </c>
    </row>
    <row r="7" customFormat="false" ht="15" hidden="false" customHeight="true" outlineLevel="0" collapsed="false">
      <c r="A7" s="10" t="s">
        <v>41</v>
      </c>
      <c r="B7" s="11" t="s">
        <v>36</v>
      </c>
      <c r="C7" s="11" t="n">
        <v>4</v>
      </c>
      <c r="D7" s="11" t="s">
        <v>257</v>
      </c>
      <c r="E7" s="12" t="n">
        <f aca="false">INDEX(Tiers!$C$4:$C$8,MATCH(B7,Tiers!$A$4:$A$8,0))</f>
        <v>1</v>
      </c>
      <c r="F7" s="12" t="n">
        <f aca="false">IF(C7&gt;Confidence_Rules!$B$4,Confidence_Rules!$B$5,1)</f>
        <v>0.8</v>
      </c>
      <c r="G7" s="12" t="n">
        <f aca="false">IF(D7="N",Confidence_Rules!$B$6,1)</f>
        <v>1</v>
      </c>
      <c r="H7" s="12" t="n">
        <f aca="false">E7*F7*G7</f>
        <v>0.8</v>
      </c>
    </row>
    <row r="8" customFormat="false" ht="15" hidden="false" customHeight="true" outlineLevel="0" collapsed="false">
      <c r="A8" s="10" t="s">
        <v>62</v>
      </c>
      <c r="B8" s="11" t="s">
        <v>207</v>
      </c>
      <c r="C8" s="11" t="n">
        <v>0</v>
      </c>
      <c r="D8" s="11" t="s">
        <v>258</v>
      </c>
      <c r="E8" s="12" t="n">
        <f aca="false">INDEX(Tiers!$C$4:$C$8,MATCH(B8,Tiers!$A$4:$A$8,0))</f>
        <v>0.5</v>
      </c>
      <c r="F8" s="12" t="n">
        <f aca="false">IF(C8&gt;Confidence_Rules!$B$4,Confidence_Rules!$B$5,1)</f>
        <v>1</v>
      </c>
      <c r="G8" s="12" t="n">
        <f aca="false">IF(D8="N",Confidence_Rules!$B$6,1)</f>
        <v>0.7</v>
      </c>
      <c r="H8" s="12" t="n">
        <f aca="false">E8*F8*G8</f>
        <v>0.35</v>
      </c>
    </row>
    <row r="10" customFormat="false" ht="15" hidden="false" customHeight="true" outlineLevel="0" collapsed="false">
      <c r="A10" s="3" t="s">
        <v>259</v>
      </c>
      <c r="H10" s="13" t="n">
        <f aca="false">AVERAGE(H5:H8)</f>
        <v>0.6375</v>
      </c>
    </row>
    <row r="11" customFormat="false" ht="15" hidden="false" customHeight="true" outlineLevel="0" collapsed="false">
      <c r="A11" s="3" t="s">
        <v>260</v>
      </c>
      <c r="H11" s="3" t="str">
        <f aca="false">IF(H10&gt;=Confidence_Rules!$B$7,"High",IF(H10&gt;=Confidence_Rules!$B$8,"Medium","Low"))</f>
        <v>Medium</v>
      </c>
    </row>
  </sheetData>
  <dataValidations count="2">
    <dataValidation allowBlank="false" errorStyle="stop" operator="between" showDropDown="false" showErrorMessage="false" showInputMessage="false" sqref="B5:B8" type="list">
      <formula1>Tiers!$A$4:$A$8</formula1>
      <formula2>0</formula2>
    </dataValidation>
    <dataValidation allowBlank="false" errorStyle="stop" operator="between" showDropDown="false" showErrorMessage="false" showInputMessage="false" sqref="D5:D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48"/>
  </cols>
  <sheetData>
    <row r="1" customFormat="false" ht="15" hidden="false" customHeight="true" outlineLevel="0" collapsed="false">
      <c r="A1" s="5" t="s">
        <v>261</v>
      </c>
      <c r="B1" s="5" t="s">
        <v>262</v>
      </c>
      <c r="C1" s="5" t="s">
        <v>263</v>
      </c>
      <c r="D1" s="5" t="s">
        <v>264</v>
      </c>
      <c r="E1" s="5" t="s">
        <v>200</v>
      </c>
    </row>
    <row r="2" customFormat="false" ht="23.25" hidden="false" customHeight="true" outlineLevel="0" collapsed="false">
      <c r="A2" s="6" t="s">
        <v>265</v>
      </c>
      <c r="B2" s="6" t="s">
        <v>266</v>
      </c>
      <c r="C2" s="6" t="s">
        <v>267</v>
      </c>
      <c r="D2" s="6" t="s">
        <v>268</v>
      </c>
      <c r="E2" s="6" t="s">
        <v>269</v>
      </c>
    </row>
    <row r="3" customFormat="false" ht="23.25" hidden="false" customHeight="true" outlineLevel="0" collapsed="false">
      <c r="A3" s="6" t="s">
        <v>270</v>
      </c>
      <c r="B3" s="6" t="s">
        <v>271</v>
      </c>
      <c r="C3" s="6" t="s">
        <v>272</v>
      </c>
      <c r="D3" s="6" t="s">
        <v>273</v>
      </c>
      <c r="E3" s="6" t="s">
        <v>274</v>
      </c>
    </row>
    <row r="4" customFormat="false" ht="23.25" hidden="false" customHeight="true" outlineLevel="0" collapsed="false">
      <c r="A4" s="6" t="s">
        <v>275</v>
      </c>
      <c r="B4" s="6" t="s">
        <v>276</v>
      </c>
      <c r="C4" s="6" t="s">
        <v>277</v>
      </c>
      <c r="D4" s="6" t="s">
        <v>278</v>
      </c>
      <c r="E4" s="6" t="s">
        <v>279</v>
      </c>
    </row>
    <row r="5" customFormat="false" ht="15" hidden="false" customHeight="true" outlineLevel="0" collapsed="false">
      <c r="A5" s="6" t="s">
        <v>280</v>
      </c>
      <c r="B5" s="6" t="s">
        <v>281</v>
      </c>
      <c r="C5" s="6" t="s">
        <v>282</v>
      </c>
      <c r="D5" s="6" t="s">
        <v>282</v>
      </c>
      <c r="E5" s="6" t="s">
        <v>283</v>
      </c>
    </row>
    <row r="6" customFormat="false" ht="23.25" hidden="false" customHeight="true" outlineLevel="0" collapsed="false">
      <c r="A6" s="6" t="s">
        <v>284</v>
      </c>
      <c r="B6" s="6" t="s">
        <v>285</v>
      </c>
      <c r="C6" s="6" t="s">
        <v>286</v>
      </c>
      <c r="D6" s="6" t="s">
        <v>287</v>
      </c>
      <c r="E6" s="6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50"/>
  </cols>
  <sheetData>
    <row r="1" customFormat="false" ht="15" hidden="false" customHeight="true" outlineLevel="0" collapsed="false">
      <c r="A1" s="5" t="s">
        <v>213</v>
      </c>
      <c r="B1" s="5" t="s">
        <v>289</v>
      </c>
      <c r="C1" s="5" t="s">
        <v>290</v>
      </c>
      <c r="D1" s="5" t="s">
        <v>291</v>
      </c>
      <c r="E1" s="5" t="s">
        <v>292</v>
      </c>
    </row>
    <row r="2" customFormat="false" ht="15" hidden="false" customHeight="true" outlineLevel="0" collapsed="false">
      <c r="A2" s="6" t="s">
        <v>293</v>
      </c>
      <c r="B2" s="6" t="n">
        <v>6</v>
      </c>
      <c r="C2" s="6"/>
      <c r="D2" s="6" t="s">
        <v>294</v>
      </c>
      <c r="E2" s="6" t="s">
        <v>295</v>
      </c>
    </row>
    <row r="3" customFormat="false" ht="15" hidden="false" customHeight="true" outlineLevel="0" collapsed="false">
      <c r="A3" s="6" t="s">
        <v>296</v>
      </c>
      <c r="B3" s="6" t="n">
        <v>75</v>
      </c>
      <c r="C3" s="6" t="n">
        <v>86</v>
      </c>
      <c r="D3" s="6" t="s">
        <v>297</v>
      </c>
      <c r="E3" s="6" t="s">
        <v>298</v>
      </c>
    </row>
    <row r="4" customFormat="false" ht="15" hidden="false" customHeight="true" outlineLevel="0" collapsed="false">
      <c r="A4" s="6" t="s">
        <v>299</v>
      </c>
      <c r="B4" s="6" t="n">
        <v>15</v>
      </c>
      <c r="C4" s="6"/>
      <c r="D4" s="6" t="s">
        <v>93</v>
      </c>
      <c r="E4" s="6" t="s">
        <v>300</v>
      </c>
    </row>
    <row r="5" customFormat="false" ht="15" hidden="false" customHeight="true" outlineLevel="0" collapsed="false">
      <c r="A5" s="6" t="s">
        <v>301</v>
      </c>
      <c r="B5" s="6" t="n">
        <v>130</v>
      </c>
      <c r="C5" s="6"/>
      <c r="D5" s="6" t="s">
        <v>302</v>
      </c>
      <c r="E5" s="6"/>
    </row>
    <row r="6" customFormat="false" ht="15" hidden="false" customHeight="true" outlineLevel="0" collapsed="false">
      <c r="A6" s="6" t="s">
        <v>303</v>
      </c>
      <c r="B6" s="6" t="n">
        <v>0.5</v>
      </c>
      <c r="C6" s="6"/>
      <c r="D6" s="6" t="s">
        <v>304</v>
      </c>
      <c r="E6" s="6" t="s">
        <v>305</v>
      </c>
    </row>
    <row r="7" customFormat="false" ht="15" hidden="false" customHeight="true" outlineLevel="0" collapsed="false">
      <c r="A7" s="6" t="s">
        <v>306</v>
      </c>
      <c r="B7" s="6" t="n">
        <v>0.25</v>
      </c>
      <c r="C7" s="6"/>
      <c r="D7" s="6" t="s">
        <v>304</v>
      </c>
      <c r="E7" s="6" t="s">
        <v>307</v>
      </c>
    </row>
    <row r="8" customFormat="false" ht="15" hidden="false" customHeight="true" outlineLevel="0" collapsed="false">
      <c r="A8" s="6" t="s">
        <v>308</v>
      </c>
      <c r="B8" s="6" t="n">
        <v>0.25</v>
      </c>
      <c r="C8" s="6"/>
      <c r="D8" s="6" t="s">
        <v>304</v>
      </c>
      <c r="E8" s="6" t="s">
        <v>307</v>
      </c>
    </row>
    <row r="9" customFormat="false" ht="15" hidden="false" customHeight="true" outlineLevel="0" collapsed="false">
      <c r="A9" s="6" t="s">
        <v>309</v>
      </c>
      <c r="B9" s="6"/>
      <c r="C9" s="6"/>
      <c r="D9" s="6" t="s">
        <v>44</v>
      </c>
      <c r="E9" s="6" t="s">
        <v>310</v>
      </c>
    </row>
    <row r="11" customFormat="false" ht="15" hidden="false" customHeight="true" outlineLevel="0" collapsed="false">
      <c r="A11" s="8" t="s">
        <v>311</v>
      </c>
    </row>
    <row r="12" customFormat="false" ht="15" hidden="false" customHeight="true" outlineLevel="0" collapsed="false">
      <c r="A12" s="8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0"/>
    <col collapsed="false" customWidth="true" hidden="false" outlineLevel="0" max="3" min="3" style="1" width="24"/>
    <col collapsed="false" customWidth="true" hidden="false" outlineLevel="0" max="4" min="4" style="1" width="16"/>
  </cols>
  <sheetData>
    <row r="1" customFormat="false" ht="15" hidden="false" customHeight="true" outlineLevel="0" collapsed="false">
      <c r="A1" s="5" t="s">
        <v>313</v>
      </c>
      <c r="B1" s="5" t="s">
        <v>314</v>
      </c>
      <c r="C1" s="5" t="s">
        <v>315</v>
      </c>
      <c r="D1" s="5" t="s">
        <v>316</v>
      </c>
    </row>
    <row r="2" customFormat="false" ht="15" hidden="false" customHeight="true" outlineLevel="0" collapsed="false">
      <c r="A2" s="6" t="n">
        <v>1</v>
      </c>
      <c r="B2" s="6" t="s">
        <v>317</v>
      </c>
      <c r="C2" s="6" t="s">
        <v>318</v>
      </c>
      <c r="D2" s="6"/>
    </row>
    <row r="3" customFormat="false" ht="15" hidden="false" customHeight="true" outlineLevel="0" collapsed="false">
      <c r="A3" s="6" t="n">
        <v>2</v>
      </c>
      <c r="B3" s="6" t="s">
        <v>319</v>
      </c>
      <c r="C3" s="6" t="s">
        <v>320</v>
      </c>
      <c r="D3" s="6"/>
    </row>
    <row r="4" customFormat="false" ht="15" hidden="false" customHeight="true" outlineLevel="0" collapsed="false">
      <c r="A4" s="6" t="n">
        <v>3</v>
      </c>
      <c r="B4" s="6" t="s">
        <v>321</v>
      </c>
      <c r="C4" s="6" t="s">
        <v>322</v>
      </c>
      <c r="D4" s="6"/>
    </row>
    <row r="5" customFormat="false" ht="15" hidden="false" customHeight="true" outlineLevel="0" collapsed="false">
      <c r="A5" s="6" t="n">
        <v>4</v>
      </c>
      <c r="B5" s="6" t="s">
        <v>323</v>
      </c>
      <c r="C5" s="6" t="s">
        <v>324</v>
      </c>
      <c r="D5" s="6"/>
    </row>
    <row r="6" customFormat="false" ht="15" hidden="false" customHeight="true" outlineLevel="0" collapsed="false">
      <c r="A6" s="6" t="n">
        <v>5</v>
      </c>
      <c r="B6" s="6" t="s">
        <v>325</v>
      </c>
      <c r="C6" s="6" t="s">
        <v>322</v>
      </c>
      <c r="D6" s="6"/>
    </row>
    <row r="7" customFormat="false" ht="15" hidden="false" customHeight="true" outlineLevel="0" collapsed="false">
      <c r="A7" s="6" t="n">
        <v>6</v>
      </c>
      <c r="B7" s="6" t="s">
        <v>326</v>
      </c>
      <c r="C7" s="6" t="s">
        <v>324</v>
      </c>
      <c r="D7" s="6"/>
    </row>
    <row r="8" customFormat="false" ht="15" hidden="false" customHeight="true" outlineLevel="0" collapsed="false">
      <c r="A8" s="6" t="n">
        <v>7</v>
      </c>
      <c r="B8" s="6" t="s">
        <v>327</v>
      </c>
      <c r="C8" s="6" t="s">
        <v>324</v>
      </c>
      <c r="D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8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5" t="s">
        <v>328</v>
      </c>
      <c r="B1" s="5" t="s">
        <v>291</v>
      </c>
      <c r="C1" s="5" t="s">
        <v>261</v>
      </c>
      <c r="D1" s="5" t="s">
        <v>329</v>
      </c>
      <c r="E1" s="5" t="s">
        <v>330</v>
      </c>
    </row>
    <row r="2" customFormat="false" ht="15" hidden="false" customHeight="false" outlineLevel="0" collapsed="false">
      <c r="A2" s="6" t="s">
        <v>331</v>
      </c>
      <c r="B2" s="6" t="s">
        <v>332</v>
      </c>
      <c r="C2" s="6" t="s">
        <v>333</v>
      </c>
      <c r="D2" s="6" t="s">
        <v>334</v>
      </c>
      <c r="E2" s="6" t="s">
        <v>335</v>
      </c>
    </row>
    <row r="3" customFormat="false" ht="15" hidden="false" customHeight="false" outlineLevel="0" collapsed="false">
      <c r="A3" s="6" t="s">
        <v>336</v>
      </c>
      <c r="B3" s="6" t="s">
        <v>337</v>
      </c>
      <c r="C3" s="6" t="s">
        <v>338</v>
      </c>
      <c r="D3" s="6" t="s">
        <v>339</v>
      </c>
      <c r="E3" s="6" t="s">
        <v>340</v>
      </c>
    </row>
    <row r="4" customFormat="false" ht="15" hidden="false" customHeight="false" outlineLevel="0" collapsed="false">
      <c r="A4" s="6" t="s">
        <v>341</v>
      </c>
      <c r="B4" s="6" t="s">
        <v>85</v>
      </c>
      <c r="C4" s="6" t="s">
        <v>342</v>
      </c>
      <c r="D4" s="6" t="s">
        <v>343</v>
      </c>
      <c r="E4" s="6" t="s">
        <v>344</v>
      </c>
    </row>
    <row r="5" customFormat="false" ht="15" hidden="false" customHeight="false" outlineLevel="0" collapsed="false">
      <c r="A5" s="6" t="s">
        <v>345</v>
      </c>
      <c r="B5" s="6" t="s">
        <v>44</v>
      </c>
      <c r="C5" s="6" t="s">
        <v>342</v>
      </c>
      <c r="D5" s="6" t="s">
        <v>346</v>
      </c>
      <c r="E5" s="6" t="s">
        <v>347</v>
      </c>
    </row>
    <row r="6" customFormat="false" ht="15" hidden="false" customHeight="false" outlineLevel="0" collapsed="false">
      <c r="A6" s="6" t="s">
        <v>348</v>
      </c>
      <c r="B6" s="6" t="s">
        <v>349</v>
      </c>
      <c r="C6" s="6" t="s">
        <v>342</v>
      </c>
      <c r="D6" s="6" t="s">
        <v>350</v>
      </c>
      <c r="E6" s="6" t="s">
        <v>351</v>
      </c>
    </row>
    <row r="7" customFormat="false" ht="15" hidden="false" customHeight="false" outlineLevel="0" collapsed="false">
      <c r="A7" s="6" t="s">
        <v>352</v>
      </c>
      <c r="B7" s="6" t="s">
        <v>44</v>
      </c>
      <c r="C7" s="6" t="s">
        <v>342</v>
      </c>
      <c r="D7" s="6" t="s">
        <v>353</v>
      </c>
      <c r="E7" s="6" t="s">
        <v>354</v>
      </c>
    </row>
    <row r="8" customFormat="false" ht="15" hidden="false" customHeight="false" outlineLevel="0" collapsed="false">
      <c r="A8" s="6" t="s">
        <v>355</v>
      </c>
      <c r="B8" s="6" t="s">
        <v>356</v>
      </c>
      <c r="C8" s="6" t="s">
        <v>342</v>
      </c>
      <c r="D8" s="6" t="s">
        <v>357</v>
      </c>
      <c r="E8" s="6" t="s">
        <v>358</v>
      </c>
    </row>
    <row r="9" customFormat="false" ht="15" hidden="false" customHeight="false" outlineLevel="0" collapsed="false">
      <c r="A9" s="6" t="s">
        <v>359</v>
      </c>
      <c r="B9" s="6" t="s">
        <v>70</v>
      </c>
      <c r="C9" s="6" t="s">
        <v>342</v>
      </c>
      <c r="D9" s="6" t="s">
        <v>357</v>
      </c>
      <c r="E9" s="6" t="s">
        <v>72</v>
      </c>
    </row>
    <row r="10" customFormat="false" ht="15" hidden="false" customHeight="false" outlineLevel="0" collapsed="false">
      <c r="A10" s="6" t="s">
        <v>360</v>
      </c>
      <c r="B10" s="6" t="s">
        <v>44</v>
      </c>
      <c r="C10" s="6" t="s">
        <v>342</v>
      </c>
      <c r="D10" s="6" t="s">
        <v>357</v>
      </c>
      <c r="E10" s="6" t="s">
        <v>361</v>
      </c>
    </row>
    <row r="11" customFormat="false" ht="15" hidden="false" customHeight="false" outlineLevel="0" collapsed="false">
      <c r="A11" s="6" t="s">
        <v>362</v>
      </c>
      <c r="B11" s="6" t="s">
        <v>363</v>
      </c>
      <c r="C11" s="6" t="s">
        <v>364</v>
      </c>
      <c r="D11" s="6" t="s">
        <v>365</v>
      </c>
      <c r="E11" s="6" t="s">
        <v>366</v>
      </c>
    </row>
    <row r="12" customFormat="false" ht="15" hidden="false" customHeight="false" outlineLevel="0" collapsed="false">
      <c r="A12" s="6" t="s">
        <v>367</v>
      </c>
      <c r="B12" s="6" t="s">
        <v>363</v>
      </c>
      <c r="C12" s="6" t="s">
        <v>364</v>
      </c>
      <c r="D12" s="6" t="s">
        <v>368</v>
      </c>
      <c r="E12" s="6" t="s">
        <v>369</v>
      </c>
    </row>
    <row r="13" customFormat="false" ht="15" hidden="false" customHeight="false" outlineLevel="0" collapsed="false">
      <c r="A13" s="6" t="s">
        <v>370</v>
      </c>
      <c r="B13" s="6" t="s">
        <v>302</v>
      </c>
      <c r="C13" s="6" t="s">
        <v>364</v>
      </c>
      <c r="D13" s="6" t="s">
        <v>371</v>
      </c>
      <c r="E13" s="6" t="s">
        <v>372</v>
      </c>
    </row>
    <row r="14" customFormat="false" ht="15" hidden="false" customHeight="false" outlineLevel="0" collapsed="false">
      <c r="A14" s="6" t="s">
        <v>373</v>
      </c>
      <c r="B14" s="6" t="s">
        <v>374</v>
      </c>
      <c r="C14" s="6" t="s">
        <v>364</v>
      </c>
      <c r="D14" s="6" t="s">
        <v>375</v>
      </c>
      <c r="E14" s="6" t="s">
        <v>376</v>
      </c>
    </row>
    <row r="15" customFormat="false" ht="15" hidden="false" customHeight="false" outlineLevel="0" collapsed="false">
      <c r="A15" s="6" t="s">
        <v>377</v>
      </c>
      <c r="B15" s="6" t="s">
        <v>378</v>
      </c>
      <c r="C15" s="6" t="s">
        <v>364</v>
      </c>
      <c r="D15" s="6" t="s">
        <v>379</v>
      </c>
      <c r="E15" s="6" t="s">
        <v>380</v>
      </c>
    </row>
    <row r="16" customFormat="false" ht="15" hidden="false" customHeight="false" outlineLevel="0" collapsed="false">
      <c r="A16" s="6" t="s">
        <v>381</v>
      </c>
      <c r="B16" s="6" t="s">
        <v>382</v>
      </c>
      <c r="C16" s="6" t="s">
        <v>364</v>
      </c>
      <c r="D16" s="6" t="s">
        <v>383</v>
      </c>
      <c r="E16" s="6" t="s">
        <v>384</v>
      </c>
    </row>
    <row r="17" customFormat="false" ht="15" hidden="false" customHeight="false" outlineLevel="0" collapsed="false">
      <c r="A17" s="6" t="s">
        <v>385</v>
      </c>
      <c r="B17" s="6" t="s">
        <v>302</v>
      </c>
      <c r="C17" s="6" t="s">
        <v>364</v>
      </c>
      <c r="D17" s="6" t="s">
        <v>386</v>
      </c>
      <c r="E17" s="6" t="s">
        <v>384</v>
      </c>
    </row>
    <row r="18" customFormat="false" ht="15" hidden="false" customHeight="false" outlineLevel="0" collapsed="false">
      <c r="A18" s="6" t="s">
        <v>387</v>
      </c>
      <c r="B18" s="6" t="s">
        <v>198</v>
      </c>
      <c r="C18" s="6" t="s">
        <v>388</v>
      </c>
      <c r="D18" s="6" t="s">
        <v>389</v>
      </c>
      <c r="E18" s="6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5" t="s">
        <v>213</v>
      </c>
      <c r="B1" s="5" t="s">
        <v>214</v>
      </c>
      <c r="C1" s="5" t="s">
        <v>215</v>
      </c>
    </row>
    <row r="2" customFormat="false" ht="15" hidden="false" customHeight="false" outlineLevel="0" collapsed="false">
      <c r="A2" s="6" t="s">
        <v>391</v>
      </c>
      <c r="B2" s="9" t="n">
        <v>0</v>
      </c>
      <c r="C2" s="6" t="s">
        <v>392</v>
      </c>
    </row>
    <row r="3" customFormat="false" ht="15" hidden="false" customHeight="false" outlineLevel="0" collapsed="false">
      <c r="A3" s="6" t="s">
        <v>393</v>
      </c>
      <c r="B3" s="9" t="n">
        <v>30</v>
      </c>
      <c r="C3" s="6" t="s">
        <v>394</v>
      </c>
    </row>
    <row r="4" customFormat="false" ht="15" hidden="false" customHeight="false" outlineLevel="0" collapsed="false">
      <c r="A4" s="6" t="s">
        <v>395</v>
      </c>
      <c r="B4" s="9" t="n">
        <v>0.95</v>
      </c>
      <c r="C4" s="6" t="s">
        <v>396</v>
      </c>
    </row>
    <row r="5" customFormat="false" ht="15" hidden="false" customHeight="false" outlineLevel="0" collapsed="false">
      <c r="A5" s="6" t="s">
        <v>397</v>
      </c>
      <c r="B5" s="9" t="n">
        <v>50</v>
      </c>
      <c r="C5" s="6" t="s">
        <v>398</v>
      </c>
    </row>
    <row r="6" customFormat="false" ht="15" hidden="false" customHeight="false" outlineLevel="0" collapsed="false">
      <c r="A6" s="6" t="s">
        <v>399</v>
      </c>
      <c r="B6" s="9" t="n">
        <v>86</v>
      </c>
      <c r="C6" s="6" t="s">
        <v>400</v>
      </c>
    </row>
    <row r="7" customFormat="false" ht="15" hidden="false" customHeight="false" outlineLevel="0" collapsed="false">
      <c r="A7" s="6" t="s">
        <v>401</v>
      </c>
      <c r="B7" s="9" t="s">
        <v>402</v>
      </c>
      <c r="C7" s="6" t="s">
        <v>403</v>
      </c>
    </row>
    <row r="8" customFormat="false" ht="15" hidden="false" customHeight="false" outlineLevel="0" collapsed="false">
      <c r="A8" s="6" t="s">
        <v>404</v>
      </c>
      <c r="B8" s="9" t="n">
        <v>-10</v>
      </c>
      <c r="C8" s="6" t="s">
        <v>405</v>
      </c>
    </row>
    <row r="9" customFormat="false" ht="15" hidden="false" customHeight="false" outlineLevel="0" collapsed="false">
      <c r="A9" s="6" t="s">
        <v>406</v>
      </c>
      <c r="B9" s="9" t="n">
        <v>-999</v>
      </c>
      <c r="C9" s="6" t="s">
        <v>407</v>
      </c>
    </row>
    <row r="11" customFormat="false" ht="15" hidden="false" customHeight="false" outlineLevel="0" collapsed="false">
      <c r="A11" s="14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2026-10-23T20:28:06Z</dcterms:created>
  <dc:creator>openpyxl</dc:creator>
  <dc:description/>
  <dc:language>en-US</dc:language>
  <cp:lastModifiedBy/>
  <dcterms:modified xsi:type="dcterms:W3CDTF">2026-10-23T20:51:27Z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