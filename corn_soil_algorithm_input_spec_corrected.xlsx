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iers" sheetId="3" state="visible" r:id="rId3"/>
    <sheet xmlns:r="http://schemas.openxmlformats.org/officeDocument/2006/relationships" name="Confidence_Rules" sheetId="4" state="visible" r:id="rId4"/>
    <sheet xmlns:r="http://schemas.openxmlformats.org/officeDocument/2006/relationships" name="Recommendation_Gates" sheetId="5" state="visible" r:id="rId5"/>
    <sheet xmlns:r="http://schemas.openxmlformats.org/officeDocument/2006/relationships" name="Confidence_Calculator" sheetId="6" state="visible" r:id="rId6"/>
    <sheet xmlns:r="http://schemas.openxmlformats.org/officeDocument/2006/relationships" name="Data_Sources" sheetId="7" state="visible" r:id="rId7"/>
    <sheet xmlns:r="http://schemas.openxmlformats.org/officeDocument/2006/relationships" name="Corn_Reference" sheetId="8" state="visible" r:id="rId8"/>
    <sheet xmlns:r="http://schemas.openxmlformats.org/officeDocument/2006/relationships" name="Open_Questions" sheetId="9" state="visible" r:id="rId9"/>
    <sheet xmlns:r="http://schemas.openxmlformats.org/officeDocument/2006/relationships" name="Field_Profile" sheetId="10" state="visible" r:id="rId10"/>
    <sheet xmlns:r="http://schemas.openxmlformats.org/officeDocument/2006/relationships" name="Climate_Derivations" sheetId="11" state="visible" r:id="rId11"/>
  </sheets>
  <definedNames>
    <definedName name="_xlnm._FilterDatabase" localSheetId="1" hidden="1">'Inputs'!$A$1:$J$33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</fonts>
  <fills count="4">
    <fill>
      <patternFill/>
    </fill>
    <fill>
      <patternFill patternType="gray125"/>
    </fill>
    <fill>
      <patternFill patternType="solid">
        <fgColor rgb="FF2F5D3A"/>
        <bgColor rgb="FF3333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2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2" fontId="8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  <xf numFmtId="2" fontId="5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F5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I7" authorId="0" shapeId="0">
      <text>
        <t>For residual nitrate credits, capture sampling depth/date, lab method, reporting basis, and recent N sources. Follow the selected regional recommendation method.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4" authorId="0" shapeId="0">
      <text>
        <t>Design rule: this is a conservative gate, not a universal agronomic formula. Exact required inputs and allowable credits depend on the selected regional method.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5" min="1" max="1"/>
    <col width="110" customWidth="1" style="15" min="2" max="2"/>
  </cols>
  <sheetData>
    <row r="1" ht="17.25" customHeight="1" s="16">
      <c r="A1" s="17" t="inlineStr">
        <is>
          <t>Corn Soil Health Algorithm - Input Specification</t>
        </is>
      </c>
    </row>
    <row r="3" ht="61.5" customHeight="1" s="16">
      <c r="A3" s="18" t="inlineStr">
        <is>
          <t>Purpose</t>
        </is>
      </c>
      <c r="B3" s="19" t="inlineStr">
        <is>
          <t>Defines the data a farmer enters (or the system auto-fills) to generate soil improvement recommendations for corn, with a confidence level based on how each input was obtained.</t>
        </is>
      </c>
    </row>
    <row r="4" ht="61.5" customHeight="1" s="16">
      <c r="A4" s="18" t="inlineStr">
        <is>
          <t>Status</t>
        </is>
      </c>
      <c r="B4" s="19" t="inlineStr">
        <is>
          <t>DRAFT v0.1. Tier weights, penalties, and thresholds are placeholder values that need calibration by an agronomist and validation against real data.</t>
        </is>
      </c>
    </row>
    <row r="5" ht="61.5" customHeight="1" s="16">
      <c r="A5" s="18" t="inlineStr">
        <is>
          <t>Sheets</t>
        </is>
      </c>
      <c r="B5" s="19" t="inlineStr">
        <is>
          <t>Inputs: one row per data field.  Tiers: data-source types and base confidence.  Confidence_Rules: tunable parameters.  Recommendation_Gates: what each recommendation requires.  Confidence_Calculator: working example of the scoring.  Data_Sources: open data to auto-fill.  Corn_Reference: values from the EcoFarming Daily article.  Open_Questions: items to resolve before implementation.</t>
        </is>
      </c>
    </row>
    <row r="6" ht="61.5" customHeight="1" s="16">
      <c r="A6" s="18" t="inlineStr">
        <is>
          <t>Legend</t>
        </is>
      </c>
      <c r="B6" s="19" t="inlineStr">
        <is>
          <t>Blue text = editable assumption or input.  Yellow fill = cell to change in the calculator.  Black = formula.</t>
        </is>
      </c>
    </row>
    <row r="7" ht="61.5" customHeight="1" s="16">
      <c r="A7" s="18" t="inlineStr">
        <is>
          <t>Implementation notes</t>
        </is>
      </c>
      <c r="B7" s="19" t="inlineStr">
        <is>
          <t>1) Store tier, units, test method, and sample date with every value. 2) Never output lime or P/K rates from non-lab data. 3) Allow incomplete input; return what can be computed and list what would improve confidence. 4) For nitrogen, require a validated regional method and its mandatory inputs before calculating a rate; do not let a low-confidence label justify an unsupported rate.</t>
        </is>
      </c>
    </row>
    <row r="8" ht="61.5" customHeight="1" s="16">
      <c r="A8" s="18" t="inlineStr">
        <is>
          <t>Sources</t>
        </is>
      </c>
      <c r="B8" s="19" t="inlineStr">
        <is>
          <t>Corn soil/climate reference values: ecofarmingdaily.com (excerpt of 'How to Grow Top Quality Corn', Dr. Harold Willis). Open data: USDA NASS Quick Stats, USDA NRCS Soil Data Access (SSURGO), ISRIC SoilGrids (CC BY 4.0).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36" customWidth="1" style="15" min="2" max="2"/>
    <col width="35" customWidth="1" style="15" min="3" max="3"/>
    <col width="34" customWidth="1" style="15" min="4" max="4"/>
    <col width="42" customWidth="1" style="15" min="5" max="5"/>
    <col width="25" customWidth="1" style="15" min="6" max="6"/>
    <col width="44" customWidth="1" style="15" min="7" max="7"/>
    <col width="45" customWidth="1" style="15" min="8" max="8"/>
    <col width="60" customWidth="1" style="15" min="9" max="9"/>
    <col width="42" customWidth="1" style="15" min="10" max="10"/>
  </cols>
  <sheetData>
    <row r="1" ht="15" customHeight="1" s="16">
      <c r="A1" s="20" t="inlineStr">
        <is>
          <t>input_id</t>
        </is>
      </c>
      <c r="B1" s="20" t="inlineStr">
        <is>
          <t>group</t>
        </is>
      </c>
      <c r="C1" s="20" t="inlineStr">
        <is>
          <t>label</t>
        </is>
      </c>
      <c r="D1" s="20" t="inlineStr">
        <is>
          <t>data_type</t>
        </is>
      </c>
      <c r="E1" s="20" t="inlineStr">
        <is>
          <t>unit_or_values</t>
        </is>
      </c>
      <c r="F1" s="20" t="inlineStr">
        <is>
          <t>allowed_tiers</t>
        </is>
      </c>
      <c r="G1" s="20" t="inlineStr">
        <is>
          <t>tier_notes (field test / kit format)</t>
        </is>
      </c>
      <c r="H1" s="20" t="inlineStr">
        <is>
          <t>requirement</t>
        </is>
      </c>
      <c r="I1" s="20" t="inlineStr">
        <is>
          <t>required_metadata</t>
        </is>
      </c>
      <c r="J1" s="20" t="inlineStr">
        <is>
          <t>drives</t>
        </is>
      </c>
    </row>
    <row r="2" ht="23.25" customHeight="1" s="16">
      <c r="A2" s="21" t="inlineStr">
        <is>
          <t>ph</t>
        </is>
      </c>
      <c r="B2" s="21" t="inlineStr">
        <is>
          <t>soil_chemistry</t>
        </is>
      </c>
      <c r="C2" s="21" t="inlineStr">
        <is>
          <t>Soil pH</t>
        </is>
      </c>
      <c r="D2" s="21" t="inlineStr">
        <is>
          <t>number (3.5-9.5)</t>
        </is>
      </c>
      <c r="E2" s="21" t="inlineStr">
        <is>
          <t>pH units</t>
        </is>
      </c>
      <c r="F2" s="21" t="inlineStr">
        <is>
          <t>lab; field_kit; auto</t>
        </is>
      </c>
      <c r="G2" s="21" t="inlineStr">
        <is>
          <t>Kit gives a range (e.g. 6.0-6.5). Probe meters need calibration.</t>
        </is>
      </c>
      <c r="H2" s="21" t="inlineStr">
        <is>
          <t>Required for lime advice</t>
        </is>
      </c>
      <c r="I2" s="21" t="inlineStr">
        <is>
          <t>sample_date, depth</t>
        </is>
      </c>
      <c r="J2" s="21" t="inlineStr">
        <is>
          <t>Lime need; nutrient availability flags</t>
        </is>
      </c>
    </row>
    <row r="3" ht="15" customHeight="1" s="16">
      <c r="A3" s="21" t="inlineStr">
        <is>
          <t>buffer_ph</t>
        </is>
      </c>
      <c r="B3" s="21" t="inlineStr">
        <is>
          <t>soil_chemistry</t>
        </is>
      </c>
      <c r="C3" s="21" t="inlineStr">
        <is>
          <t>Buffer pH</t>
        </is>
      </c>
      <c r="D3" s="21" t="inlineStr">
        <is>
          <t>number</t>
        </is>
      </c>
      <c r="E3" s="21" t="inlineStr">
        <is>
          <t>pH units</t>
        </is>
      </c>
      <c r="F3" s="21" t="inlineStr">
        <is>
          <t>lab</t>
        </is>
      </c>
      <c r="G3" s="21" t="inlineStr">
        <is>
          <t>Lab only</t>
        </is>
      </c>
      <c r="H3" s="21" t="inlineStr">
        <is>
          <t>Required for lime rate</t>
        </is>
      </c>
      <c r="I3" s="21" t="inlineStr">
        <is>
          <t>sample_date</t>
        </is>
      </c>
      <c r="J3" s="21" t="inlineStr">
        <is>
          <t>Lime rate</t>
        </is>
      </c>
    </row>
    <row r="4" ht="15" customHeight="1" s="16">
      <c r="A4" s="21" t="inlineStr">
        <is>
          <t>organic_matter_pct</t>
        </is>
      </c>
      <c r="B4" s="21" t="inlineStr">
        <is>
          <t>soil_chemistry</t>
        </is>
      </c>
      <c r="C4" s="21" t="inlineStr">
        <is>
          <t>Organic matter</t>
        </is>
      </c>
      <c r="D4" s="21" t="inlineStr">
        <is>
          <t>number (0-20)</t>
        </is>
      </c>
      <c r="E4" s="21" t="inlineStr">
        <is>
          <t>percent</t>
        </is>
      </c>
      <c r="F4" s="21" t="inlineStr">
        <is>
          <t>lab; auto; observation</t>
        </is>
      </c>
      <c r="G4" s="21" t="inlineStr">
        <is>
          <t>Observation = low / medium / high</t>
        </is>
      </c>
      <c r="H4" s="21" t="inlineStr">
        <is>
          <t>Recommended</t>
        </is>
      </c>
      <c r="I4" s="21" t="inlineStr">
        <is>
          <t>sample_date</t>
        </is>
      </c>
      <c r="J4" s="21" t="inlineStr">
        <is>
          <t>Structure and water holding; N credit only if supported by selected regional method</t>
        </is>
      </c>
    </row>
    <row r="5" ht="23.25" customHeight="1" s="16">
      <c r="A5" s="21" t="inlineStr">
        <is>
          <t>phosphorus</t>
        </is>
      </c>
      <c r="B5" s="21" t="inlineStr">
        <is>
          <t>soil_chemistry</t>
        </is>
      </c>
      <c r="C5" s="21" t="inlineStr">
        <is>
          <t>Phosphorus (P)</t>
        </is>
      </c>
      <c r="D5" s="21" t="inlineStr">
        <is>
          <t>number</t>
        </is>
      </c>
      <c r="E5" s="21" t="inlineStr">
        <is>
          <t>ppm or lb/ac</t>
        </is>
      </c>
      <c r="F5" s="21" t="inlineStr">
        <is>
          <t>lab; field_kit</t>
        </is>
      </c>
      <c r="G5" s="21" t="inlineStr">
        <is>
          <t>Kit = very low / low / optimum / high</t>
        </is>
      </c>
      <c r="H5" s="21" t="inlineStr">
        <is>
          <t>Required for P rate</t>
        </is>
      </c>
      <c r="I5" s="21" t="inlineStr">
        <is>
          <t>test_method (Bray-P1 / Mehlich-3 / Olsen), depth_in, sample_date</t>
        </is>
      </c>
      <c r="J5" s="21" t="inlineStr">
        <is>
          <t>P recommendation</t>
        </is>
      </c>
    </row>
    <row r="6" ht="15" customHeight="1" s="16">
      <c r="A6" s="21" t="inlineStr">
        <is>
          <t>potassium</t>
        </is>
      </c>
      <c r="B6" s="21" t="inlineStr">
        <is>
          <t>soil_chemistry</t>
        </is>
      </c>
      <c r="C6" s="21" t="inlineStr">
        <is>
          <t>Potassium (K)</t>
        </is>
      </c>
      <c r="D6" s="21" t="inlineStr">
        <is>
          <t>number</t>
        </is>
      </c>
      <c r="E6" s="21" t="inlineStr">
        <is>
          <t>ppm or lb/ac</t>
        </is>
      </c>
      <c r="F6" s="21" t="inlineStr">
        <is>
          <t>lab; field_kit</t>
        </is>
      </c>
      <c r="G6" s="21" t="inlineStr">
        <is>
          <t>Kit = very low / low / optimum / high</t>
        </is>
      </c>
      <c r="H6" s="21" t="inlineStr">
        <is>
          <t>Required for K rate</t>
        </is>
      </c>
      <c r="I6" s="21" t="inlineStr">
        <is>
          <t>test_method, depth_in, sample_date</t>
        </is>
      </c>
      <c r="J6" s="21" t="inlineStr">
        <is>
          <t>K recommendation</t>
        </is>
      </c>
    </row>
    <row r="7" ht="15" customHeight="1" s="16">
      <c r="A7" s="21" t="inlineStr">
        <is>
          <t>nitrate_n</t>
        </is>
      </c>
      <c r="B7" s="21" t="inlineStr">
        <is>
          <t>soil_chemistry</t>
        </is>
      </c>
      <c r="C7" s="21" t="inlineStr">
        <is>
          <t>Nitrate-N</t>
        </is>
      </c>
      <c r="D7" s="21" t="inlineStr">
        <is>
          <t>number</t>
        </is>
      </c>
      <c r="E7" s="21" t="inlineStr">
        <is>
          <t>ppm</t>
        </is>
      </c>
      <c r="F7" s="21" t="inlineStr">
        <is>
          <t>lab; field_kit</t>
        </is>
      </c>
      <c r="G7" s="21" t="inlineStr">
        <is>
          <t>Test strips give categories</t>
        </is>
      </c>
      <c r="H7" s="21" t="inlineStr">
        <is>
          <t>Optional; credit only when permitted by selected regional method and valid test conditions</t>
        </is>
      </c>
      <c r="I7" s="21" t="inlineStr">
        <is>
          <t>sample_date, sample_depth_in, test_method, reporting_basis (nitrate-N vs nitrate), units, recent_N_applications, lab_or_kit</t>
        </is>
      </c>
      <c r="J7" s="21" t="inlineStr">
        <is>
          <t>N plan refinement</t>
        </is>
      </c>
    </row>
    <row r="8" ht="15" customHeight="1" s="16">
      <c r="A8" s="21" t="inlineStr">
        <is>
          <t>cec</t>
        </is>
      </c>
      <c r="B8" s="21" t="inlineStr">
        <is>
          <t>soil_chemistry</t>
        </is>
      </c>
      <c r="C8" s="21" t="inlineStr">
        <is>
          <t>CEC</t>
        </is>
      </c>
      <c r="D8" s="21" t="inlineStr">
        <is>
          <t>number</t>
        </is>
      </c>
      <c r="E8" s="21" t="inlineStr">
        <is>
          <t>meq/100g</t>
        </is>
      </c>
      <c r="F8" s="21" t="inlineStr">
        <is>
          <t>lab; auto</t>
        </is>
      </c>
      <c r="G8" s="22" t="n"/>
      <c r="H8" s="21" t="inlineStr">
        <is>
          <t>Optional</t>
        </is>
      </c>
      <c r="I8" s="22" t="n"/>
      <c r="J8" s="21" t="inlineStr">
        <is>
          <t>Nutrient holding capacity</t>
        </is>
      </c>
    </row>
    <row r="9" ht="15" customHeight="1" s="16">
      <c r="A9" s="21" t="inlineStr">
        <is>
          <t>zinc</t>
        </is>
      </c>
      <c r="B9" s="21" t="inlineStr">
        <is>
          <t>soil_chemistry</t>
        </is>
      </c>
      <c r="C9" s="21" t="inlineStr">
        <is>
          <t>Zinc (Zn)</t>
        </is>
      </c>
      <c r="D9" s="21" t="inlineStr">
        <is>
          <t>number</t>
        </is>
      </c>
      <c r="E9" s="21" t="inlineStr">
        <is>
          <t>ppm</t>
        </is>
      </c>
      <c r="F9" s="21" t="inlineStr">
        <is>
          <t>lab</t>
        </is>
      </c>
      <c r="G9" s="21" t="inlineStr">
        <is>
          <t>No reliable field test</t>
        </is>
      </c>
      <c r="H9" s="21" t="inlineStr">
        <is>
          <t>Optional</t>
        </is>
      </c>
      <c r="I9" s="21" t="inlineStr">
        <is>
          <t>test_method</t>
        </is>
      </c>
      <c r="J9" s="21" t="inlineStr">
        <is>
          <t>Zn recommendation (corn)</t>
        </is>
      </c>
    </row>
    <row r="10" ht="15" customHeight="1" s="16">
      <c r="A10" s="21" t="inlineStr">
        <is>
          <t>other_nutrients</t>
        </is>
      </c>
      <c r="B10" s="21" t="inlineStr">
        <is>
          <t>soil_chemistry</t>
        </is>
      </c>
      <c r="C10" s="21" t="inlineStr">
        <is>
          <t>Ca, Mg, S, Fe, Mn, Cu, B</t>
        </is>
      </c>
      <c r="D10" s="21" t="inlineStr">
        <is>
          <t>number each</t>
        </is>
      </c>
      <c r="E10" s="21" t="inlineStr">
        <is>
          <t>ppm</t>
        </is>
      </c>
      <c r="F10" s="21" t="inlineStr">
        <is>
          <t>lab</t>
        </is>
      </c>
      <c r="G10" s="22" t="n"/>
      <c r="H10" s="21" t="inlineStr">
        <is>
          <t>Optional</t>
        </is>
      </c>
      <c r="I10" s="22" t="n"/>
      <c r="J10" s="21" t="inlineStr">
        <is>
          <t>Secondary/trace nutrient flags</t>
        </is>
      </c>
    </row>
    <row r="11" ht="34.5" customHeight="1" s="16">
      <c r="A11" s="21" t="inlineStr">
        <is>
          <t>texture</t>
        </is>
      </c>
      <c r="B11" s="21" t="inlineStr">
        <is>
          <t>soil_physical</t>
        </is>
      </c>
      <c r="C11" s="21" t="inlineStr">
        <is>
          <t>Soil texture</t>
        </is>
      </c>
      <c r="D11" s="21" t="inlineStr">
        <is>
          <t>category</t>
        </is>
      </c>
      <c r="E11" s="21" t="inlineStr">
        <is>
          <t>sand; loamy sand; sandy loam; loam; silt loam; clay loam; silty clay loam; clay; other</t>
        </is>
      </c>
      <c r="F11" s="21" t="inlineStr">
        <is>
          <t>lab; field_test; auto</t>
        </is>
      </c>
      <c r="G11" s="21" t="inlineStr">
        <is>
          <t>Ribbon test or jar test</t>
        </is>
      </c>
      <c r="H11" s="21" t="inlineStr">
        <is>
          <t>Recommended</t>
        </is>
      </c>
      <c r="I11" s="22" t="n"/>
      <c r="J11" s="21" t="inlineStr">
        <is>
          <t>Water holding, drainage, N loss risk</t>
        </is>
      </c>
    </row>
    <row r="12" ht="23.25" customHeight="1" s="16">
      <c r="A12" s="21" t="inlineStr">
        <is>
          <t>compaction_depth_in</t>
        </is>
      </c>
      <c r="B12" s="21" t="inlineStr">
        <is>
          <t>soil_physical</t>
        </is>
      </c>
      <c r="C12" s="21" t="inlineStr">
        <is>
          <t>Depth of compaction layer</t>
        </is>
      </c>
      <c r="D12" s="21" t="inlineStr">
        <is>
          <t>number (0-48)</t>
        </is>
      </c>
      <c r="E12" s="21" t="inlineStr">
        <is>
          <t>inches</t>
        </is>
      </c>
      <c r="F12" s="21" t="inlineStr">
        <is>
          <t>field_test; observation</t>
        </is>
      </c>
      <c r="G12" s="21" t="inlineStr">
        <is>
          <t>Penetrometer, wire flag, or spade dig; depth where resistance jumps</t>
        </is>
      </c>
      <c r="H12" s="21" t="inlineStr">
        <is>
          <t>Recommended</t>
        </is>
      </c>
      <c r="I12" s="22" t="n"/>
      <c r="J12" s="21" t="inlineStr">
        <is>
          <t>Compaction advice</t>
        </is>
      </c>
    </row>
    <row r="13" ht="15" customHeight="1" s="16">
      <c r="A13" s="21" t="inlineStr">
        <is>
          <t>infiltration_min_per_in</t>
        </is>
      </c>
      <c r="B13" s="21" t="inlineStr">
        <is>
          <t>soil_physical</t>
        </is>
      </c>
      <c r="C13" s="21" t="inlineStr">
        <is>
          <t>Infiltration time</t>
        </is>
      </c>
      <c r="D13" s="21" t="inlineStr">
        <is>
          <t>number</t>
        </is>
      </c>
      <c r="E13" s="21" t="inlineStr">
        <is>
          <t>minutes per inch</t>
        </is>
      </c>
      <c r="F13" s="21" t="inlineStr">
        <is>
          <t>field_test</t>
        </is>
      </c>
      <c r="G13" s="21" t="inlineStr">
        <is>
          <t>Ring infiltration test</t>
        </is>
      </c>
      <c r="H13" s="21" t="inlineStr">
        <is>
          <t>Optional</t>
        </is>
      </c>
      <c r="I13" s="22" t="n"/>
      <c r="J13" s="21" t="inlineStr">
        <is>
          <t>Structure, drainage advice</t>
        </is>
      </c>
    </row>
    <row r="14" ht="15" customHeight="1" s="16">
      <c r="A14" s="21" t="inlineStr">
        <is>
          <t>bulk_density</t>
        </is>
      </c>
      <c r="B14" s="21" t="inlineStr">
        <is>
          <t>soil_physical</t>
        </is>
      </c>
      <c r="C14" s="21" t="inlineStr">
        <is>
          <t>Bulk density</t>
        </is>
      </c>
      <c r="D14" s="21" t="inlineStr">
        <is>
          <t>number</t>
        </is>
      </c>
      <c r="E14" s="21" t="inlineStr">
        <is>
          <t>g/cm3</t>
        </is>
      </c>
      <c r="F14" s="21" t="inlineStr">
        <is>
          <t>lab; field_test</t>
        </is>
      </c>
      <c r="G14" s="21" t="inlineStr">
        <is>
          <t>Core method, dried and weighed</t>
        </is>
      </c>
      <c r="H14" s="21" t="inlineStr">
        <is>
          <t>Optional</t>
        </is>
      </c>
      <c r="I14" s="22" t="n"/>
      <c r="J14" s="21" t="inlineStr">
        <is>
          <t>Compaction</t>
        </is>
      </c>
    </row>
    <row r="15" ht="15" customHeight="1" s="16">
      <c r="A15" s="21" t="inlineStr">
        <is>
          <t>aggregate_stability</t>
        </is>
      </c>
      <c r="B15" s="21" t="inlineStr">
        <is>
          <t>soil_physical</t>
        </is>
      </c>
      <c r="C15" s="21" t="inlineStr">
        <is>
          <t>Aggregate stability</t>
        </is>
      </c>
      <c r="D15" s="21" t="inlineStr">
        <is>
          <t>category</t>
        </is>
      </c>
      <c r="E15" s="21" t="inlineStr">
        <is>
          <t>falls apart quickly; partly holds; holds well</t>
        </is>
      </c>
      <c r="F15" s="21" t="inlineStr">
        <is>
          <t>lab; field_test</t>
        </is>
      </c>
      <c r="G15" s="21" t="inlineStr">
        <is>
          <t>Slake test or SLAKES app</t>
        </is>
      </c>
      <c r="H15" s="21" t="inlineStr">
        <is>
          <t>Optional</t>
        </is>
      </c>
      <c r="I15" s="22" t="n"/>
      <c r="J15" s="21" t="inlineStr">
        <is>
          <t>Structure advice</t>
        </is>
      </c>
    </row>
    <row r="16" ht="15" customHeight="1" s="16">
      <c r="A16" s="21" t="inlineStr">
        <is>
          <t>surface_crusting</t>
        </is>
      </c>
      <c r="B16" s="21" t="inlineStr">
        <is>
          <t>soil_physical</t>
        </is>
      </c>
      <c r="C16" s="21" t="inlineStr">
        <is>
          <t>Surface crusting</t>
        </is>
      </c>
      <c r="D16" s="21" t="inlineStr">
        <is>
          <t>category</t>
        </is>
      </c>
      <c r="E16" s="21" t="inlineStr">
        <is>
          <t>none; slight; moderate; severe</t>
        </is>
      </c>
      <c r="F16" s="21" t="inlineStr">
        <is>
          <t>observation</t>
        </is>
      </c>
      <c r="G16" s="22" t="n"/>
      <c r="H16" s="21" t="inlineStr">
        <is>
          <t>Optional</t>
        </is>
      </c>
      <c r="I16" s="22" t="n"/>
      <c r="J16" s="21" t="inlineStr">
        <is>
          <t>Structure advice</t>
        </is>
      </c>
    </row>
    <row r="17" ht="15" customHeight="1" s="16">
      <c r="A17" s="21" t="inlineStr">
        <is>
          <t>ponding_or_slow_drying</t>
        </is>
      </c>
      <c r="B17" s="21" t="inlineStr">
        <is>
          <t>soil_physical</t>
        </is>
      </c>
      <c r="C17" s="21" t="inlineStr">
        <is>
          <t>Ponding / slow spring drying</t>
        </is>
      </c>
      <c r="D17" s="21" t="inlineStr">
        <is>
          <t>category</t>
        </is>
      </c>
      <c r="E17" s="21" t="inlineStr">
        <is>
          <t>never; sometimes; often</t>
        </is>
      </c>
      <c r="F17" s="21" t="inlineStr">
        <is>
          <t>observation</t>
        </is>
      </c>
      <c r="G17" s="22" t="n"/>
      <c r="H17" s="21" t="inlineStr">
        <is>
          <t>Recommended</t>
        </is>
      </c>
      <c r="I17" s="22" t="n"/>
      <c r="J17" s="21" t="inlineStr">
        <is>
          <t>Drainage and aeration advice</t>
        </is>
      </c>
    </row>
    <row r="18" ht="15" customHeight="1" s="16">
      <c r="A18" s="21" t="inlineStr">
        <is>
          <t>drainage_class</t>
        </is>
      </c>
      <c r="B18" s="21" t="inlineStr">
        <is>
          <t>soil_physical</t>
        </is>
      </c>
      <c r="C18" s="21" t="inlineStr">
        <is>
          <t>Drainage class</t>
        </is>
      </c>
      <c r="D18" s="21" t="inlineStr">
        <is>
          <t>category</t>
        </is>
      </c>
      <c r="E18" s="22" t="n"/>
      <c r="F18" s="21" t="inlineStr">
        <is>
          <t>auto; observation</t>
        </is>
      </c>
      <c r="G18" s="22" t="n"/>
      <c r="H18" s="21" t="inlineStr">
        <is>
          <t>Recommended</t>
        </is>
      </c>
      <c r="I18" s="22" t="n"/>
      <c r="J18" s="21" t="inlineStr">
        <is>
          <t>Aeration risk</t>
        </is>
      </c>
    </row>
    <row r="19" ht="15" customHeight="1" s="16">
      <c r="A19" s="21" t="inlineStr">
        <is>
          <t>respiration_co2_burst</t>
        </is>
      </c>
      <c r="B19" s="21" t="inlineStr">
        <is>
          <t>soil_biology</t>
        </is>
      </c>
      <c r="C19" s="21" t="inlineStr">
        <is>
          <t>Soil respiration (CO2 burst)</t>
        </is>
      </c>
      <c r="D19" s="21" t="inlineStr">
        <is>
          <t>number</t>
        </is>
      </c>
      <c r="E19" s="21" t="inlineStr">
        <is>
          <t>lab units</t>
        </is>
      </c>
      <c r="F19" s="21" t="inlineStr">
        <is>
          <t>lab; field_kit</t>
        </is>
      </c>
      <c r="G19" s="22" t="n"/>
      <c r="H19" s="21" t="inlineStr">
        <is>
          <t>Optional</t>
        </is>
      </c>
      <c r="I19" s="21" t="inlineStr">
        <is>
          <t>method, sample_date</t>
        </is>
      </c>
      <c r="J19" s="21" t="inlineStr">
        <is>
          <t>Biological activity</t>
        </is>
      </c>
    </row>
    <row r="20" ht="15" customHeight="1" s="16">
      <c r="A20" s="21" t="inlineStr">
        <is>
          <t>active_carbon</t>
        </is>
      </c>
      <c r="B20" s="21" t="inlineStr">
        <is>
          <t>soil_biology</t>
        </is>
      </c>
      <c r="C20" s="21" t="inlineStr">
        <is>
          <t>Active carbon</t>
        </is>
      </c>
      <c r="D20" s="21" t="inlineStr">
        <is>
          <t>number</t>
        </is>
      </c>
      <c r="E20" s="21" t="inlineStr">
        <is>
          <t>lab units</t>
        </is>
      </c>
      <c r="F20" s="21" t="inlineStr">
        <is>
          <t>lab</t>
        </is>
      </c>
      <c r="G20" s="22" t="n"/>
      <c r="H20" s="21" t="inlineStr">
        <is>
          <t>Optional</t>
        </is>
      </c>
      <c r="I20" s="22" t="n"/>
      <c r="J20" s="21" t="inlineStr">
        <is>
          <t>Labile organic matter</t>
        </is>
      </c>
    </row>
    <row r="21" ht="15" customHeight="1" s="16">
      <c r="A21" s="21" t="inlineStr">
        <is>
          <t>earthworms_per_spade</t>
        </is>
      </c>
      <c r="B21" s="21" t="inlineStr">
        <is>
          <t>soil_biology</t>
        </is>
      </c>
      <c r="C21" s="21" t="inlineStr">
        <is>
          <t>Earthworm count</t>
        </is>
      </c>
      <c r="D21" s="21" t="inlineStr">
        <is>
          <t>integer</t>
        </is>
      </c>
      <c r="E21" s="21" t="inlineStr">
        <is>
          <t>count per spade block (1 ft deep)</t>
        </is>
      </c>
      <c r="F21" s="21" t="inlineStr">
        <is>
          <t>field_test</t>
        </is>
      </c>
      <c r="G21" s="21" t="inlineStr">
        <is>
          <t>Dig and count</t>
        </is>
      </c>
      <c r="H21" s="21" t="inlineStr">
        <is>
          <t>Optional</t>
        </is>
      </c>
      <c r="I21" s="22" t="n"/>
      <c r="J21" s="21" t="inlineStr">
        <is>
          <t>Biological activity</t>
        </is>
      </c>
    </row>
    <row r="22" ht="15" customHeight="1" s="16">
      <c r="A22" s="21" t="inlineStr">
        <is>
          <t>residue_breakdown</t>
        </is>
      </c>
      <c r="B22" s="21" t="inlineStr">
        <is>
          <t>soil_biology</t>
        </is>
      </c>
      <c r="C22" s="21" t="inlineStr">
        <is>
          <t>Residue breakdown</t>
        </is>
      </c>
      <c r="D22" s="21" t="inlineStr">
        <is>
          <t>category</t>
        </is>
      </c>
      <c r="E22" s="21" t="inlineStr">
        <is>
          <t>little; moderate; mostly decomposed</t>
        </is>
      </c>
      <c r="F22" s="21" t="inlineStr">
        <is>
          <t>field_test; observation</t>
        </is>
      </c>
      <c r="G22" s="21" t="inlineStr">
        <is>
          <t>Buried cotton fabric over several weeks</t>
        </is>
      </c>
      <c r="H22" s="21" t="inlineStr">
        <is>
          <t>Optional</t>
        </is>
      </c>
      <c r="I22" s="22" t="n"/>
      <c r="J22" s="21" t="inlineStr">
        <is>
          <t>Biological activity</t>
        </is>
      </c>
    </row>
    <row r="23" ht="15" customHeight="1" s="16">
      <c r="A23" s="21" t="inlineStr">
        <is>
          <t>soil_smell</t>
        </is>
      </c>
      <c r="B23" s="21" t="inlineStr">
        <is>
          <t>soil_biology</t>
        </is>
      </c>
      <c r="C23" s="21" t="inlineStr">
        <is>
          <t>Soil smell</t>
        </is>
      </c>
      <c r="D23" s="21" t="inlineStr">
        <is>
          <t>category</t>
        </is>
      </c>
      <c r="E23" s="21" t="inlineStr">
        <is>
          <t>earthy; neutral; sour or rotten</t>
        </is>
      </c>
      <c r="F23" s="21" t="inlineStr">
        <is>
          <t>observation</t>
        </is>
      </c>
      <c r="G23" s="21" t="inlineStr">
        <is>
          <t>Sour/rotten flags low oxygen</t>
        </is>
      </c>
      <c r="H23" s="21" t="inlineStr">
        <is>
          <t>Optional</t>
        </is>
      </c>
      <c r="I23" s="22" t="n"/>
      <c r="J23" s="21" t="inlineStr">
        <is>
          <t>Aeration flag</t>
        </is>
      </c>
    </row>
    <row r="24" ht="23.25" customHeight="1" s="16">
      <c r="A24" s="21" t="inlineStr">
        <is>
          <t>root_condition</t>
        </is>
      </c>
      <c r="B24" s="21" t="inlineStr">
        <is>
          <t>soil_biology</t>
        </is>
      </c>
      <c r="C24" s="21" t="inlineStr">
        <is>
          <t>Root condition</t>
        </is>
      </c>
      <c r="D24" s="21" t="inlineStr">
        <is>
          <t>category</t>
        </is>
      </c>
      <c r="E24" s="21" t="inlineStr">
        <is>
          <t>deep and branching; shallow; flattened or stunted</t>
        </is>
      </c>
      <c r="F24" s="21" t="inlineStr">
        <is>
          <t>observation</t>
        </is>
      </c>
      <c r="G24" s="22" t="n"/>
      <c r="H24" s="21" t="inlineStr">
        <is>
          <t>Optional</t>
        </is>
      </c>
      <c r="I24" s="22" t="n"/>
      <c r="J24" s="21" t="inlineStr">
        <is>
          <t>Compaction / aeration flag</t>
        </is>
      </c>
    </row>
    <row r="25" ht="15" customHeight="1" s="16">
      <c r="A25" s="21" t="inlineStr">
        <is>
          <t>rotation</t>
        </is>
      </c>
      <c r="B25" s="21" t="inlineStr">
        <is>
          <t>management</t>
        </is>
      </c>
      <c r="C25" s="21" t="inlineStr">
        <is>
          <t>Crop rotation (last 3 years)</t>
        </is>
      </c>
      <c r="D25" s="21" t="inlineStr">
        <is>
          <t>list of (year, crop)</t>
        </is>
      </c>
      <c r="E25" s="22" t="n"/>
      <c r="F25" s="21" t="inlineStr">
        <is>
          <t>farmer entry</t>
        </is>
      </c>
      <c r="G25" s="22" t="n"/>
      <c r="H25" s="21" t="inlineStr">
        <is>
          <t>Required for N plan context</t>
        </is>
      </c>
      <c r="I25" s="21" t="inlineStr">
        <is>
          <t>year, crop, legume_species_and_stand where relevant; include previous_crop separately</t>
        </is>
      </c>
      <c r="J25" s="21" t="inlineStr">
        <is>
          <t>N credit only through a validated regional rule; pest and disease risk</t>
        </is>
      </c>
    </row>
    <row r="26" ht="23.25" customHeight="1" s="16">
      <c r="A26" s="21" t="inlineStr">
        <is>
          <t>tillage</t>
        </is>
      </c>
      <c r="B26" s="21" t="inlineStr">
        <is>
          <t>management</t>
        </is>
      </c>
      <c r="C26" s="21" t="inlineStr">
        <is>
          <t>Tillage type and depth</t>
        </is>
      </c>
      <c r="D26" s="21" t="inlineStr">
        <is>
          <t>category + number</t>
        </is>
      </c>
      <c r="E26" s="21" t="inlineStr">
        <is>
          <t>none; reduced; conventional; depth in inches</t>
        </is>
      </c>
      <c r="F26" s="21" t="inlineStr">
        <is>
          <t>farmer entry</t>
        </is>
      </c>
      <c r="G26" s="22" t="n"/>
      <c r="H26" s="21" t="inlineStr">
        <is>
          <t>Required</t>
        </is>
      </c>
      <c r="I26" s="22" t="n"/>
      <c r="J26" s="21" t="inlineStr">
        <is>
          <t>Structure and organic matter advice</t>
        </is>
      </c>
    </row>
    <row r="27" ht="15" customHeight="1" s="16">
      <c r="A27" s="21" t="inlineStr">
        <is>
          <t>cover_crop</t>
        </is>
      </c>
      <c r="B27" s="21" t="inlineStr">
        <is>
          <t>management</t>
        </is>
      </c>
      <c r="C27" s="21" t="inlineStr">
        <is>
          <t>Cover crop</t>
        </is>
      </c>
      <c r="D27" s="21" t="inlineStr">
        <is>
          <t>object</t>
        </is>
      </c>
      <c r="E27" s="21" t="inlineStr">
        <is>
          <t>species, plant_date, termination_date</t>
        </is>
      </c>
      <c r="F27" s="21" t="inlineStr">
        <is>
          <t>farmer entry</t>
        </is>
      </c>
      <c r="G27" s="22" t="n"/>
      <c r="H27" s="21" t="inlineStr">
        <is>
          <t>Optional</t>
        </is>
      </c>
      <c r="I27" s="22" t="n"/>
      <c r="J27" s="21" t="inlineStr">
        <is>
          <t>Organic matter, N, structure</t>
        </is>
      </c>
    </row>
    <row r="28" ht="23.25" customHeight="1" s="16">
      <c r="A28" s="21" t="inlineStr">
        <is>
          <t>amendments</t>
        </is>
      </c>
      <c r="B28" s="21" t="inlineStr">
        <is>
          <t>management</t>
        </is>
      </c>
      <c r="C28" s="21" t="inlineStr">
        <is>
          <t>Fertilizer, manure, compost, lime applied</t>
        </is>
      </c>
      <c r="D28" s="21" t="inlineStr">
        <is>
          <t>list of objects</t>
        </is>
      </c>
      <c r="E28" s="21" t="inlineStr">
        <is>
          <t>product, rate, unit, date, method; nutrient analysis and availability where relevant</t>
        </is>
      </c>
      <c r="F28" s="21" t="inlineStr">
        <is>
          <t>farmer entry</t>
        </is>
      </c>
      <c r="G28" s="22" t="n"/>
      <c r="H28" s="21" t="inlineStr">
        <is>
          <t>Required for N plan if any fertilizer/manure/compost was applied; otherwise explicitly record none</t>
        </is>
      </c>
      <c r="I28" s="21" t="inlineStr">
        <is>
          <t>product, rate, units, application_date, method, total_N, PAN/availability estimate, analysis_source; moisture where relevant</t>
        </is>
      </c>
      <c r="J28" s="21" t="inlineStr">
        <is>
          <t>N plan; nutrient balance</t>
        </is>
      </c>
    </row>
    <row r="29" ht="15" customHeight="1" s="16">
      <c r="A29" s="21" t="inlineStr">
        <is>
          <t>yield_history</t>
        </is>
      </c>
      <c r="B29" s="21" t="inlineStr">
        <is>
          <t>management</t>
        </is>
      </c>
      <c r="C29" s="21" t="inlineStr">
        <is>
          <t>Corn yield history</t>
        </is>
      </c>
      <c r="D29" s="21" t="inlineStr">
        <is>
          <t>list of (year, bu/ac)</t>
        </is>
      </c>
      <c r="E29" s="21" t="inlineStr">
        <is>
          <t>bu/acre</t>
        </is>
      </c>
      <c r="F29" s="21" t="inlineStr">
        <is>
          <t>farmer entry</t>
        </is>
      </c>
      <c r="G29" s="22" t="n"/>
      <c r="H29" s="21" t="inlineStr">
        <is>
          <t>Recommended; required when selected regional method uses it to set a realistic yield goal</t>
        </is>
      </c>
      <c r="I29" s="21" t="inlineStr">
        <is>
          <t>year, crop, yield, units, field identity; note unusual weather or crop loss where relevant</t>
        </is>
      </c>
      <c r="J29" s="21" t="inlineStr">
        <is>
          <t>Benchmarking; outcome tracking</t>
        </is>
      </c>
    </row>
    <row r="30" ht="15" customHeight="1" s="16">
      <c r="A30" s="21" t="inlineStr">
        <is>
          <t>yield_goal</t>
        </is>
      </c>
      <c r="B30" s="21" t="inlineStr">
        <is>
          <t>management</t>
        </is>
      </c>
      <c r="C30" s="21" t="inlineStr">
        <is>
          <t>Yield goal</t>
        </is>
      </c>
      <c r="D30" s="21" t="inlineStr">
        <is>
          <t>number</t>
        </is>
      </c>
      <c r="E30" s="21" t="inlineStr">
        <is>
          <t>bu/acre</t>
        </is>
      </c>
      <c r="F30" s="21" t="inlineStr">
        <is>
          <t>farmer entry</t>
        </is>
      </c>
      <c r="G30" s="22" t="n"/>
      <c r="H30" s="21" t="inlineStr">
        <is>
          <t>Required by selected regional method (not universally required)</t>
        </is>
      </c>
      <c r="I30" s="21" t="inlineStr">
        <is>
          <t>target_year, units, basis (farmer target / yield-history-derived / regional default)</t>
        </is>
      </c>
      <c r="J30" s="21" t="inlineStr">
        <is>
          <t>N plan only through selected regional method</t>
        </is>
      </c>
    </row>
    <row r="31" ht="15" customHeight="1" s="16">
      <c r="A31" s="21" t="inlineStr">
        <is>
          <t>previous_crop</t>
        </is>
      </c>
      <c r="B31" s="21" t="inlineStr">
        <is>
          <t>management</t>
        </is>
      </c>
      <c r="C31" s="21" t="inlineStr">
        <is>
          <t>Previous crop</t>
        </is>
      </c>
      <c r="D31" s="21" t="inlineStr">
        <is>
          <t>category / object</t>
        </is>
      </c>
      <c r="E31" s="21" t="inlineStr">
        <is>
          <t>crop species; year; legume details where applicable</t>
        </is>
      </c>
      <c r="F31" s="21" t="inlineStr">
        <is>
          <t>farmer_entry</t>
        </is>
      </c>
      <c r="G31" s="21" t="n"/>
      <c r="H31" s="21" t="inlineStr">
        <is>
          <t>Required for N plan</t>
        </is>
      </c>
      <c r="I31" s="21" t="inlineStr">
        <is>
          <t>crop_year, species; legume stand/termination details if relevant</t>
        </is>
      </c>
      <c r="J31" s="21" t="inlineStr">
        <is>
          <t>Regional N credit rules; rotation context</t>
        </is>
      </c>
    </row>
    <row r="32" ht="15" customHeight="1" s="16">
      <c r="A32" s="21" t="inlineStr">
        <is>
          <t>fertilizer_n_history</t>
        </is>
      </c>
      <c r="B32" s="21" t="inlineStr">
        <is>
          <t>management</t>
        </is>
      </c>
      <c r="C32" s="21" t="inlineStr">
        <is>
          <t>Mineral fertilizer N history</t>
        </is>
      </c>
      <c r="D32" s="21" t="inlineStr">
        <is>
          <t>list of objects</t>
        </is>
      </c>
      <c r="E32" s="21" t="inlineStr">
        <is>
          <t>product, rate, units, date, placement</t>
        </is>
      </c>
      <c r="F32" s="21" t="inlineStr">
        <is>
          <t>farmer_entry</t>
        </is>
      </c>
      <c r="G32" s="21" t="n"/>
      <c r="H32" s="21" t="inlineStr">
        <is>
          <t>Required if fertilizer N was applied; otherwise explicitly record none</t>
        </is>
      </c>
      <c r="I32" s="21" t="inlineStr">
        <is>
          <t>product, total_N_rate, units, application_date, placement, field_id</t>
        </is>
      </c>
      <c r="J32" s="21" t="inlineStr">
        <is>
          <t>N balance; avoid double counting</t>
        </is>
      </c>
    </row>
    <row r="33" ht="15" customHeight="1" s="16">
      <c r="A33" s="21" t="inlineStr">
        <is>
          <t>manure_n_analysis</t>
        </is>
      </c>
      <c r="B33" s="21" t="inlineStr">
        <is>
          <t>management</t>
        </is>
      </c>
      <c r="C33" s="21" t="inlineStr">
        <is>
          <t>Manure / organic amendment nutrient data</t>
        </is>
      </c>
      <c r="D33" s="21" t="inlineStr">
        <is>
          <t>list of objects</t>
        </is>
      </c>
      <c r="E33" s="21" t="inlineStr">
        <is>
          <t>total N, PAN or availability estimate, rate, units, date</t>
        </is>
      </c>
      <c r="F33" s="21" t="inlineStr">
        <is>
          <t>farmer_entry; lab</t>
        </is>
      </c>
      <c r="G33" s="21" t="n"/>
      <c r="H33" s="21" t="inlineStr">
        <is>
          <t>Required when manure/organic amendments are used for N credit</t>
        </is>
      </c>
      <c r="I33" s="21" t="inlineStr">
        <is>
          <t>analysis_source, total_N, PAN/availability basis, rate, units, date, method; moisture if relevant</t>
        </is>
      </c>
      <c r="J33" s="21" t="inlineStr">
        <is>
          <t>Method-specific plant-available N credit</t>
        </is>
      </c>
    </row>
    <row r="34">
      <c r="A34" s="21" t="inlineStr">
        <is>
          <t>nitrogen_method</t>
        </is>
      </c>
      <c r="B34" s="21" t="inlineStr">
        <is>
          <t>management</t>
        </is>
      </c>
      <c r="C34" s="21" t="inlineStr">
        <is>
          <t>Regional nitrogen recommendation method</t>
        </is>
      </c>
      <c r="D34" s="21" t="inlineStr">
        <is>
          <t>category / identifier</t>
        </is>
      </c>
      <c r="E34" s="21" t="inlineStr">
        <is>
          <t>region, crop, source, version/year</t>
        </is>
      </c>
      <c r="F34" s="21" t="inlineStr">
        <is>
          <t>auto; farmer_entry</t>
        </is>
      </c>
      <c r="G34" s="21" t="n"/>
      <c r="H34" s="21" t="inlineStr">
        <is>
          <t>Required before calculating an N rate</t>
        </is>
      </c>
      <c r="I34" s="21" t="inlineStr">
        <is>
          <t>region, crop/use, source_url_or_id, version_year, applicability</t>
        </is>
      </c>
      <c r="J34" s="21" t="inlineStr">
        <is>
          <t>Select validated regional N recommendation and credit rules</t>
        </is>
      </c>
    </row>
    <row r="35">
      <c r="A35" s="21" t="inlineStr">
        <is>
          <t>irrigation_water_n</t>
        </is>
      </c>
      <c r="B35" s="21" t="inlineStr">
        <is>
          <t>management</t>
        </is>
      </c>
      <c r="C35" s="21" t="inlineStr">
        <is>
          <t>Irrigation-water nitrogen</t>
        </is>
      </c>
      <c r="D35" s="21" t="inlineStr">
        <is>
          <t>number</t>
        </is>
      </c>
      <c r="E35" s="21" t="inlineStr">
        <is>
          <t>mg/L nitrate-N or lab-reported units</t>
        </is>
      </c>
      <c r="F35" s="21" t="inlineStr">
        <is>
          <t>lab</t>
        </is>
      </c>
      <c r="G35" s="21" t="n"/>
      <c r="H35" s="21" t="inlineStr">
        <is>
          <t>Optional; required only where relevant and method supports a credit</t>
        </is>
      </c>
      <c r="I35" s="21" t="inlineStr">
        <is>
          <t>sample_date, lab_method, reporting_basis, concentration, irrigation_amount, units</t>
        </is>
      </c>
      <c r="J35" s="21" t="inlineStr">
        <is>
          <t>N credit where regionally supported</t>
        </is>
      </c>
    </row>
    <row r="36">
      <c r="A36" s="21" t="inlineStr">
        <is>
          <t>field_location</t>
        </is>
      </c>
      <c r="B36" s="21" t="inlineStr">
        <is>
          <t>field</t>
        </is>
      </c>
      <c r="C36" s="21" t="inlineStr">
        <is>
          <t>Field location or boundary</t>
        </is>
      </c>
      <c r="D36" s="21" t="inlineStr">
        <is>
          <t>GeoJSON or lat/lon</t>
        </is>
      </c>
      <c r="E36" s="21" t="n"/>
      <c r="F36" s="21" t="inlineStr">
        <is>
          <t>farmer entry</t>
        </is>
      </c>
      <c r="G36" s="21" t="inlineStr">
        <is>
          <t>Pin or polygon</t>
        </is>
      </c>
      <c r="H36" s="21" t="inlineStr">
        <is>
          <t>Required</t>
        </is>
      </c>
      <c r="I36" s="21" t="n"/>
      <c r="J36" s="21" t="inlineStr">
        <is>
          <t>Auto-fill of soil, weather, yield benchmarks</t>
        </is>
      </c>
    </row>
    <row r="37">
      <c r="A37" s="21" t="inlineStr">
        <is>
          <t>irrigated</t>
        </is>
      </c>
      <c r="B37" s="21" t="inlineStr">
        <is>
          <t>field</t>
        </is>
      </c>
      <c r="C37" s="21" t="inlineStr">
        <is>
          <t>Irrigated?</t>
        </is>
      </c>
      <c r="D37" s="21" t="inlineStr">
        <is>
          <t>boolean</t>
        </is>
      </c>
      <c r="E37" s="22" t="n"/>
      <c r="F37" s="21" t="inlineStr">
        <is>
          <t>farmer entry</t>
        </is>
      </c>
      <c r="G37" s="22" t="n"/>
      <c r="H37" s="21" t="inlineStr">
        <is>
          <t>Recommended</t>
        </is>
      </c>
      <c r="I37" s="22" t="n"/>
      <c r="J37" s="21" t="inlineStr">
        <is>
          <t>Water supply; irrigation-water N only where relevant and supported by regional method (do not infer a universal 15+ inch requirement)</t>
        </is>
      </c>
    </row>
    <row r="38">
      <c r="A38" s="21" t="inlineStr">
        <is>
          <t>tile_drained</t>
        </is>
      </c>
      <c r="B38" s="21" t="inlineStr">
        <is>
          <t>field</t>
        </is>
      </c>
      <c r="C38" s="21" t="inlineStr">
        <is>
          <t>Tile drained?</t>
        </is>
      </c>
      <c r="D38" s="21" t="inlineStr">
        <is>
          <t>boolean / unknown</t>
        </is>
      </c>
      <c r="E38" s="22" t="n"/>
      <c r="F38" s="21" t="inlineStr">
        <is>
          <t>farmer entry</t>
        </is>
      </c>
      <c r="G38" s="22" t="n"/>
      <c r="H38" s="21" t="inlineStr">
        <is>
          <t>Optional</t>
        </is>
      </c>
      <c r="I38" s="22" t="n"/>
      <c r="J38" s="21" t="inlineStr">
        <is>
          <t>Drainage</t>
        </is>
      </c>
    </row>
  </sheetData>
  <autoFilter ref="A1:J3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40" customWidth="1" style="15" min="2" max="2"/>
    <col width="18" customWidth="1" style="15" min="3" max="3"/>
    <col width="50" customWidth="1" style="15" min="4" max="4"/>
  </cols>
  <sheetData>
    <row r="1" ht="17.25" customHeight="1" s="16">
      <c r="A1" s="17" t="inlineStr">
        <is>
          <t>Data source tiers</t>
        </is>
      </c>
    </row>
    <row r="3" ht="15" customHeight="1" s="16">
      <c r="A3" s="20" t="inlineStr">
        <is>
          <t>tier_id</t>
        </is>
      </c>
      <c r="B3" s="20" t="inlineStr">
        <is>
          <t>label</t>
        </is>
      </c>
      <c r="C3" s="20" t="inlineStr">
        <is>
          <t>base_confidence</t>
        </is>
      </c>
      <c r="D3" s="20" t="inlineStr">
        <is>
          <t>notes</t>
        </is>
      </c>
    </row>
    <row r="4" ht="15" customHeight="1" s="16">
      <c r="A4" s="21" t="inlineStr">
        <is>
          <t>lab</t>
        </is>
      </c>
      <c r="B4" s="21" t="inlineStr">
        <is>
          <t>Lab test</t>
        </is>
      </c>
      <c r="C4" s="23" t="n">
        <v>1</v>
      </c>
      <c r="D4" s="22" t="n"/>
    </row>
    <row r="5" ht="15" customHeight="1" s="16">
      <c r="A5" s="21" t="inlineStr">
        <is>
          <t>field_test</t>
        </is>
      </c>
      <c r="B5" s="21" t="inlineStr">
        <is>
          <t>Hands-on field test</t>
        </is>
      </c>
      <c r="C5" s="23" t="n">
        <v>0.7</v>
      </c>
      <c r="D5" s="21" t="inlineStr">
        <is>
          <t>Physical tests done correctly are reliable</t>
        </is>
      </c>
    </row>
    <row r="6" ht="15" customHeight="1" s="16">
      <c r="A6" s="21" t="inlineStr">
        <is>
          <t>auto</t>
        </is>
      </c>
      <c r="B6" s="21" t="inlineStr">
        <is>
          <t>Auto-filled (SSURGO / NASS / weather)</t>
        </is>
      </c>
      <c r="C6" s="23" t="n">
        <v>0.6</v>
      </c>
      <c r="D6" s="21" t="inlineStr">
        <is>
          <t>Map-unit averages, not field specific</t>
        </is>
      </c>
    </row>
    <row r="7" ht="15" customHeight="1" s="16">
      <c r="A7" s="21" t="inlineStr">
        <is>
          <t>field_kit</t>
        </is>
      </c>
      <c r="B7" s="21" t="inlineStr">
        <is>
          <t>Field kit or meter</t>
        </is>
      </c>
      <c r="C7" s="23" t="n">
        <v>0.5</v>
      </c>
      <c r="D7" s="21" t="inlineStr">
        <is>
          <t>Categories or ranges only</t>
        </is>
      </c>
    </row>
    <row r="8" ht="15" customHeight="1" s="16">
      <c r="A8" s="21" t="inlineStr">
        <is>
          <t>observation</t>
        </is>
      </c>
      <c r="B8" s="21" t="inlineStr">
        <is>
          <t>Visual / farmer judgment</t>
        </is>
      </c>
      <c r="C8" s="23" t="n">
        <v>0.35</v>
      </c>
      <c r="D8" s="22" t="n"/>
    </row>
    <row r="9">
      <c r="A9" t="inlineStr">
        <is>
          <t>farmer_entry</t>
        </is>
      </c>
      <c r="B9" t="inlineStr">
        <is>
          <t>Farmer-entered record or management history</t>
        </is>
      </c>
      <c r="C9" t="n">
        <v>0.5</v>
      </c>
      <c r="D9" t="inlineStr">
        <is>
          <t>Base score is a placeholder; assess completeness and plausibility separately. Not equivalent to a field test.</t>
        </is>
      </c>
    </row>
    <row r="10" ht="15" customHeight="1" s="16">
      <c r="A10" s="24" t="inlineStr">
        <is>
          <t>Base confidence values are placeholder assumptions (not from a source); calibrate before use.</t>
        </is>
      </c>
    </row>
    <row r="11">
      <c r="A11" s="25" t="n"/>
      <c r="B11" s="25" t="n"/>
      <c r="C11" s="25" t="n"/>
      <c r="D11" s="2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5" min="1" max="1"/>
    <col width="12" customWidth="1" style="15" min="2" max="2"/>
    <col width="70" customWidth="1" style="15" min="3" max="3"/>
  </cols>
  <sheetData>
    <row r="1" ht="17.25" customHeight="1" s="16">
      <c r="A1" s="26" t="inlineStr">
        <is>
          <t>Tunable scoring parameters</t>
        </is>
      </c>
    </row>
    <row r="3" ht="15" customHeight="1" s="16">
      <c r="A3" s="27" t="inlineStr">
        <is>
          <t>parameter</t>
        </is>
      </c>
      <c r="B3" s="27" t="inlineStr">
        <is>
          <t>value</t>
        </is>
      </c>
      <c r="C3" s="27" t="inlineStr">
        <is>
          <t>description</t>
        </is>
      </c>
    </row>
    <row r="4" ht="15" customHeight="1" s="16">
      <c r="A4" s="22" t="inlineStr">
        <is>
          <t>age_threshold_years</t>
        </is>
      </c>
      <c r="B4" s="28" t="n">
        <v>3</v>
      </c>
      <c r="C4" s="22" t="inlineStr">
        <is>
          <t>Samples older than this are penalized</t>
        </is>
      </c>
    </row>
    <row r="5" ht="15" customHeight="1" s="16">
      <c r="A5" s="22" t="inlineStr">
        <is>
          <t>age_penalty_factor</t>
        </is>
      </c>
      <c r="B5" s="28" t="n">
        <v>0.8</v>
      </c>
      <c r="C5" s="22" t="inlineStr">
        <is>
          <t>Multiplier applied when sample is older than threshold</t>
        </is>
      </c>
    </row>
    <row r="6" ht="15" customHeight="1" s="16">
      <c r="A6" s="22" t="inlineStr">
        <is>
          <t>missing_method_penalty_factor</t>
        </is>
      </c>
      <c r="B6" s="28" t="n">
        <v>0.7</v>
      </c>
      <c r="C6" s="22" t="inlineStr">
        <is>
          <t>Multiplier applied when test method or units are missing</t>
        </is>
      </c>
    </row>
    <row r="7" ht="15" customHeight="1" s="16">
      <c r="A7" s="22" t="inlineStr">
        <is>
          <t>high_threshold</t>
        </is>
      </c>
      <c r="B7" s="28" t="n">
        <v>0.8</v>
      </c>
      <c r="C7" s="22" t="inlineStr">
        <is>
          <t>Confidence at or above this = High</t>
        </is>
      </c>
    </row>
    <row r="8" ht="15" customHeight="1" s="16">
      <c r="A8" s="22" t="inlineStr">
        <is>
          <t>medium_threshold</t>
        </is>
      </c>
      <c r="B8" s="28" t="n">
        <v>0.5</v>
      </c>
      <c r="C8" s="22" t="inlineStr">
        <is>
          <t>Confidence at or above this = Medium; below = Low</t>
        </is>
      </c>
    </row>
    <row r="10" ht="15" customHeight="1" s="16">
      <c r="A10" s="29" t="inlineStr">
        <is>
          <t>All values are placeholder assumptions to be calibrated with an agronomist.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5" min="1" max="1"/>
    <col width="66" customWidth="1" style="15" min="2" max="2"/>
    <col width="70" customWidth="1" style="15" min="3" max="4"/>
    <col width="90" customWidth="1" style="16" min="4" max="4"/>
  </cols>
  <sheetData>
    <row r="1" ht="15" customHeight="1" s="16">
      <c r="A1" s="20" t="inlineStr">
        <is>
          <t>recommendation</t>
        </is>
      </c>
      <c r="B1" s="20" t="inlineStr">
        <is>
          <t>needs</t>
        </is>
      </c>
      <c r="C1" s="20" t="inlineStr">
        <is>
          <t>improves_with</t>
        </is>
      </c>
      <c r="D1" s="20" t="inlineStr">
        <is>
          <t>if_missing / output rule</t>
        </is>
      </c>
    </row>
    <row r="2" ht="15" customHeight="1" s="16">
      <c r="A2" s="21" t="inlineStr">
        <is>
          <t>Lime rate</t>
        </is>
      </c>
      <c r="B2" s="21" t="inlineStr">
        <is>
          <t>ph (lab); buffer_ph (lab)</t>
        </is>
      </c>
      <c r="C2" s="22" t="n"/>
      <c r="D2" s="21" t="inlineStr">
        <is>
          <t>Do not give a rate. Advise lab test.</t>
        </is>
      </c>
    </row>
    <row r="3" ht="15" customHeight="1" s="16">
      <c r="A3" s="21" t="inlineStr">
        <is>
          <t>Phosphorus / potassium rate</t>
        </is>
      </c>
      <c r="B3" s="21" t="inlineStr">
        <is>
          <t>phosphorus (lab); potassium (lab); test_method</t>
        </is>
      </c>
      <c r="C3" s="22" t="n"/>
      <c r="D3" s="21" t="inlineStr">
        <is>
          <t>Do not give a rate. Advise lab test.</t>
        </is>
      </c>
    </row>
    <row r="4" ht="15" customHeight="1" s="16">
      <c r="A4" s="21" t="inlineStr">
        <is>
          <t>Nitrogen plan</t>
        </is>
      </c>
      <c r="B4" s="21" t="inlineStr">
        <is>
          <t>field_location; nitrogen_method; previous_crop; rotation; planned_crop_N_sources; yield_goal/history only as required by selected method</t>
        </is>
      </c>
      <c r="C4" s="21" t="inlineStr">
        <is>
          <t>valid_residual_N_test; fertilizer_n_history; manure_n_analysis; legume_history; cover_crop_history; irrigation_water_n where relevant; soil_texture where required by method</t>
        </is>
      </c>
      <c r="D4" s="21" t="inlineStr">
        <is>
          <t>If regional method or its mandatory inputs are missing, do not calculate a fertilizer rate. Request missing inputs or provide general guidance. Apply only validated, source-specific N credits; never infer a credit from organic matter alone.</t>
        </is>
      </c>
    </row>
    <row r="5" ht="15" customHeight="1" s="16">
      <c r="A5" s="21" t="inlineStr">
        <is>
          <t>Compaction advice</t>
        </is>
      </c>
      <c r="B5" s="21" t="inlineStr">
        <is>
          <t>compaction_depth_in OR ponding_or_slow_drying</t>
        </is>
      </c>
      <c r="C5" s="21" t="inlineStr">
        <is>
          <t>root_condition; soil_smell; bulk_density</t>
        </is>
      </c>
      <c r="D5" s="21" t="inlineStr">
        <is>
          <t>Ask for a spade or penetrometer check.</t>
        </is>
      </c>
    </row>
    <row r="6" ht="23.25" customHeight="1" s="16">
      <c r="A6" s="21" t="inlineStr">
        <is>
          <t>Structure and organic matter advice</t>
        </is>
      </c>
      <c r="B6" s="21" t="inlineStr">
        <is>
          <t>tillage; rotation</t>
        </is>
      </c>
      <c r="C6" s="21" t="inlineStr">
        <is>
          <t>aggregate_stability; infiltration_min_per_in; earthworms_per_spade; organic_matter_pct</t>
        </is>
      </c>
      <c r="D6" s="21" t="inlineStr">
        <is>
          <t>Cover crops, reduced tillage, and residue management can be advised without lab data.</t>
        </is>
      </c>
    </row>
    <row r="7" ht="23.25" customHeight="1" s="16">
      <c r="A7" s="21" t="inlineStr">
        <is>
          <t>pH direction only</t>
        </is>
      </c>
      <c r="B7" s="21" t="inlineStr">
        <is>
          <t>ph (lab OR field_kit with method/uncertainty recorded)</t>
        </is>
      </c>
      <c r="C7" s="21" t="inlineStr">
        <is>
          <t>field_location; soil type; regional target guidance</t>
        </is>
      </c>
      <c r="D7" s="21" t="inlineStr">
        <is>
          <t>Output a screening flag only; support ranges/uncertainty. Confirm with representative lab test before lime recommendation.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4" customWidth="1" style="15" min="1" max="1"/>
    <col width="28" customWidth="1" style="15" min="2" max="2"/>
    <col width="18" customWidth="1" style="15" min="3" max="3"/>
    <col width="22" customWidth="1" style="15" min="4" max="4"/>
    <col width="16" customWidth="1" style="15" min="5" max="5"/>
    <col width="12" customWidth="1" style="15" min="6" max="6"/>
    <col width="14" customWidth="1" style="15" min="7" max="7"/>
    <col width="32" customWidth="1" style="15" min="8" max="8"/>
  </cols>
  <sheetData>
    <row r="1" ht="17.25" customHeight="1" s="16">
      <c r="A1" s="17" t="inlineStr">
        <is>
          <t>Worked example: input-data confidence for one recommendation (Nitrogen plan)</t>
        </is>
      </c>
    </row>
    <row r="2" ht="15" customHeight="1" s="16">
      <c r="A2" s="24" t="inlineStr">
        <is>
          <t>Illustrative only. This score measures input data confidence, not whether the regional nitrogen method supports a valid rate.</t>
        </is>
      </c>
    </row>
    <row r="4" ht="15" customHeight="1" s="16">
      <c r="A4" s="20" t="inlineStr">
        <is>
          <t>input</t>
        </is>
      </c>
      <c r="B4" s="20" t="inlineStr">
        <is>
          <t>tier</t>
        </is>
      </c>
      <c r="C4" s="20" t="inlineStr">
        <is>
          <t>sample_age_years</t>
        </is>
      </c>
      <c r="D4" s="20" t="inlineStr">
        <is>
          <t>method_recorded (Y/N)</t>
        </is>
      </c>
      <c r="E4" s="20" t="inlineStr">
        <is>
          <t>base_confidence</t>
        </is>
      </c>
      <c r="F4" s="20" t="inlineStr">
        <is>
          <t>age_factor</t>
        </is>
      </c>
      <c r="G4" s="20" t="inlineStr">
        <is>
          <t>method_factor</t>
        </is>
      </c>
      <c r="H4" s="20" t="inlineStr">
        <is>
          <t>final_confidence</t>
        </is>
      </c>
    </row>
    <row r="5" ht="15" customHeight="1" s="16">
      <c r="A5" s="21" t="inlineStr">
        <is>
          <t>rotation</t>
        </is>
      </c>
      <c r="B5" s="30" t="inlineStr">
        <is>
          <t>farmer_entry</t>
        </is>
      </c>
      <c r="C5" s="30" t="n">
        <v>0</v>
      </c>
      <c r="D5" s="30" t="inlineStr">
        <is>
          <t>Y</t>
        </is>
      </c>
      <c r="E5" s="31">
        <f>INDEX(Tiers!$C$4:$C$9,MATCH(B5,Tiers!$A$4:$A$9,0))</f>
        <v/>
      </c>
      <c r="F5" s="31">
        <f>IF(C5&gt;Confidence_Rules!$B$4,Confidence_Rules!$B$5,1)</f>
        <v/>
      </c>
      <c r="G5" s="31">
        <f>IF(D5="N",Confidence_Rules!$B$6,1)</f>
        <v/>
      </c>
      <c r="H5" s="31">
        <f>E5*F5*G5</f>
        <v/>
      </c>
    </row>
    <row r="6" ht="15" customHeight="1" s="16">
      <c r="A6" s="21" t="inlineStr">
        <is>
          <t>yield_goal</t>
        </is>
      </c>
      <c r="B6" s="30" t="inlineStr">
        <is>
          <t>farmer_entry</t>
        </is>
      </c>
      <c r="C6" s="30" t="n">
        <v>0</v>
      </c>
      <c r="D6" s="30" t="inlineStr">
        <is>
          <t>Y</t>
        </is>
      </c>
      <c r="E6" s="31">
        <f>INDEX(Tiers!$C$4:$C$9,MATCH(B6,Tiers!$A$4:$A$9,0))</f>
        <v/>
      </c>
      <c r="F6" s="31">
        <f>IF(C6&gt;Confidence_Rules!$B$4,Confidence_Rules!$B$5,1)</f>
        <v/>
      </c>
      <c r="G6" s="31">
        <f>IF(D6="N",Confidence_Rules!$B$6,1)</f>
        <v/>
      </c>
      <c r="H6" s="31">
        <f>E6*F6*G6</f>
        <v/>
      </c>
    </row>
    <row r="7" ht="15" customHeight="1" s="16">
      <c r="A7" s="21" t="inlineStr">
        <is>
          <t>organic_matter_pct</t>
        </is>
      </c>
      <c r="B7" s="30" t="inlineStr">
        <is>
          <t>lab</t>
        </is>
      </c>
      <c r="C7" s="30" t="n">
        <v>4</v>
      </c>
      <c r="D7" s="30" t="inlineStr">
        <is>
          <t>Y</t>
        </is>
      </c>
      <c r="E7" s="31">
        <f>INDEX(Tiers!$C$4:$C$9,MATCH(B7,Tiers!$A$4:$A$9,0))</f>
        <v/>
      </c>
      <c r="F7" s="31">
        <f>IF(C7&gt;Confidence_Rules!$B$4,Confidence_Rules!$B$5,1)</f>
        <v/>
      </c>
      <c r="G7" s="31">
        <f>IF(D7="N",Confidence_Rules!$B$6,1)</f>
        <v/>
      </c>
      <c r="H7" s="31">
        <f>E7*F7*G7</f>
        <v/>
      </c>
    </row>
    <row r="8" ht="15" customHeight="1" s="16">
      <c r="A8" s="21" t="inlineStr">
        <is>
          <t>nitrate_n</t>
        </is>
      </c>
      <c r="B8" s="30" t="inlineStr">
        <is>
          <t>field_kit</t>
        </is>
      </c>
      <c r="C8" s="30" t="n">
        <v>0</v>
      </c>
      <c r="D8" s="30" t="inlineStr">
        <is>
          <t>N</t>
        </is>
      </c>
      <c r="E8" s="31">
        <f>INDEX(Tiers!$C$4:$C$9,MATCH(B8,Tiers!$A$4:$A$9,0))</f>
        <v/>
      </c>
      <c r="F8" s="31">
        <f>IF(C8&gt;Confidence_Rules!$B$4,Confidence_Rules!$B$5,1)</f>
        <v/>
      </c>
      <c r="G8" s="31">
        <f>IF(D8="N",Confidence_Rules!$B$6,1)</f>
        <v/>
      </c>
      <c r="H8" s="31">
        <f>E8*F8*G8</f>
        <v/>
      </c>
    </row>
    <row r="10" ht="15" customHeight="1" s="16">
      <c r="A10" s="18" t="inlineStr">
        <is>
          <t>Input-data confidence (average; not recommendation validity)</t>
        </is>
      </c>
      <c r="H10" s="32">
        <f>AVERAGE(H5:H8)</f>
        <v/>
      </c>
    </row>
    <row r="11" ht="15" customHeight="1" s="16">
      <c r="A11" s="18" t="inlineStr">
        <is>
          <t>Input-data confidence level</t>
        </is>
      </c>
      <c r="H11" s="18">
        <f>IF(H10&gt;=Confidence_Rules!$B$7,"High",IF(H10&gt;=Confidence_Rules!$B$8,"Medium","Low"))</f>
        <v/>
      </c>
    </row>
    <row r="13">
      <c r="A13" s="25" t="inlineStr">
        <is>
          <t>Safety gate</t>
        </is>
      </c>
      <c r="B13" s="25" t="inlineStr">
        <is>
          <t>Calculate an N rate only if nitrogen_method is selected and all required inputs/credit conditions for that method pass validation. A confidence score cannot override this gate.</t>
        </is>
      </c>
    </row>
  </sheetData>
  <dataValidations count="2">
    <dataValidation sqref="B5:B8" showDropDown="0" showInputMessage="0" showErrorMessage="0" allowBlank="0" type="list" errorStyle="stop" operator="between">
      <formula1>Tiers!$A$4:$A$8</formula1>
      <formula2>0</formula2>
    </dataValidation>
    <dataValidation sqref="D5:D8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5" min="1" max="1"/>
    <col width="48" customWidth="1" style="15" min="2" max="5"/>
  </cols>
  <sheetData>
    <row r="1" ht="15" customHeight="1" s="16">
      <c r="A1" s="27" t="inlineStr">
        <is>
          <t>source</t>
        </is>
      </c>
      <c r="B1" s="27" t="inlineStr">
        <is>
          <t>provides</t>
        </is>
      </c>
      <c r="C1" s="27" t="inlineStr">
        <is>
          <t>access</t>
        </is>
      </c>
      <c r="D1" s="27" t="inlineStr">
        <is>
          <t>license / terms</t>
        </is>
      </c>
      <c r="E1" s="27" t="inlineStr">
        <is>
          <t>notes</t>
        </is>
      </c>
    </row>
    <row r="2" ht="23.25" customHeight="1" s="16">
      <c r="A2" s="22" t="inlineStr">
        <is>
          <t>USDA NASS Quick Stats</t>
        </is>
      </c>
      <c r="B2" s="22" t="inlineStr">
        <is>
          <t>Corn yield, acreage, price by state/county/year</t>
        </is>
      </c>
      <c r="C2" s="22" t="inlineStr">
        <is>
          <t>Free API key: quickstats.nass.usda.gov/api</t>
        </is>
      </c>
      <c r="D2" s="22" t="inlineStr">
        <is>
          <t>Public USDA data; cite 'USDA National Agricultural Statistics Service'</t>
        </is>
      </c>
      <c r="E2" s="22" t="inlineStr">
        <is>
          <t>Some values suppressed for privacy; data lags 6-12 months</t>
        </is>
      </c>
    </row>
    <row r="3" ht="23.25" customHeight="1" s="16">
      <c r="A3" s="22" t="inlineStr">
        <is>
          <t>USDA NRCS Soil Data Access (SSURGO)</t>
        </is>
      </c>
      <c r="B3" s="22" t="inlineStr">
        <is>
          <t>Soil layers by location: texture, organic matter, pH, CEC, drainage</t>
        </is>
      </c>
      <c r="C3" s="22" t="inlineStr">
        <is>
          <t>Public web service (sdmdataaccess.nrcs.usda.gov); bulk download via Web Soil Survey</t>
        </is>
      </c>
      <c r="D3" s="22" t="inlineStr">
        <is>
          <t>Federal data; service has no uptime guarantee</t>
        </is>
      </c>
      <c r="E3" s="22" t="inlineStr">
        <is>
          <t>US only; map-unit averages</t>
        </is>
      </c>
    </row>
    <row r="4" ht="23.25" customHeight="1" s="16">
      <c r="A4" s="22" t="inlineStr">
        <is>
          <t>ISRIC SoilGrids</t>
        </is>
      </c>
      <c r="B4" s="22" t="inlineStr">
        <is>
          <t>Global 250 m maps: pH, organic carbon, texture, bulk density, CEC, nitrogen at six depths</t>
        </is>
      </c>
      <c r="C4" s="22" t="inlineStr">
        <is>
          <t>GeoTIFF downloads at files.isric.org</t>
        </is>
      </c>
      <c r="D4" s="22" t="inlineStr">
        <is>
          <t>CC BY 4.0 (attribution required)</t>
        </is>
      </c>
      <c r="E4" s="22" t="inlineStr">
        <is>
          <t>ML-predicted; less reliable where few soil profiles. REST API currently paused.</t>
        </is>
      </c>
    </row>
    <row r="5" ht="15" customHeight="1" s="16">
      <c r="A5" s="22" t="inlineStr">
        <is>
          <t>Weather (NASA POWER / NOAA)</t>
        </is>
      </c>
      <c r="B5" s="22" t="inlineStr">
        <is>
          <t>Rainfall, temperature</t>
        </is>
      </c>
      <c r="C5" s="22" t="inlineStr">
        <is>
          <t>Not verified</t>
        </is>
      </c>
      <c r="D5" s="22" t="inlineStr">
        <is>
          <t>Not verified</t>
        </is>
      </c>
      <c r="E5" s="22" t="inlineStr">
        <is>
          <t>Candidates only; confirm terms before use</t>
        </is>
      </c>
    </row>
    <row r="6" ht="23.25" customHeight="1" s="16">
      <c r="A6" s="22" t="inlineStr">
        <is>
          <t>University nutrient guides (e.g. Iowa State PM 1688, Michigan State E2904)</t>
        </is>
      </c>
      <c r="B6" s="22" t="inlineStr">
        <is>
          <t>P, K, lime, N interpretation tables</t>
        </is>
      </c>
      <c r="C6" s="22" t="inlineStr">
        <is>
          <t>Web / PDF</t>
        </is>
      </c>
      <c r="D6" s="22" t="inlineStr">
        <is>
          <t>University copyright; check reuse terms</t>
        </is>
      </c>
      <c r="E6" s="22" t="inlineStr">
        <is>
          <t>Use as basis for rules; do not copy tables wholesale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15" min="1" max="1"/>
    <col width="10" customWidth="1" style="15" min="2" max="3"/>
    <col width="12" customWidth="1" style="15" min="4" max="4"/>
    <col width="50" customWidth="1" style="15" min="5" max="5"/>
  </cols>
  <sheetData>
    <row r="1" ht="15" customHeight="1" s="16">
      <c r="A1" s="27" t="inlineStr">
        <is>
          <t>parameter</t>
        </is>
      </c>
      <c r="B1" s="27" t="inlineStr">
        <is>
          <t>min</t>
        </is>
      </c>
      <c r="C1" s="27" t="inlineStr">
        <is>
          <t>max</t>
        </is>
      </c>
      <c r="D1" s="27" t="inlineStr">
        <is>
          <t>unit</t>
        </is>
      </c>
      <c r="E1" s="27" t="inlineStr">
        <is>
          <t>note</t>
        </is>
      </c>
    </row>
    <row r="2" ht="15" customHeight="1" s="16">
      <c r="A2" s="22" t="inlineStr">
        <is>
          <t>Soil depth</t>
        </is>
      </c>
      <c r="B2" s="22" t="n">
        <v>6</v>
      </c>
      <c r="C2" s="22" t="n"/>
      <c r="D2" s="22" t="inlineStr">
        <is>
          <t>ft</t>
        </is>
      </c>
      <c r="E2" s="22" t="inlineStr">
        <is>
          <t>Ideal; corn tolerates less</t>
        </is>
      </c>
    </row>
    <row r="3" ht="15" customHeight="1" s="16">
      <c r="A3" s="22" t="inlineStr">
        <is>
          <t>Growing temperature</t>
        </is>
      </c>
      <c r="B3" s="22" t="n">
        <v>75</v>
      </c>
      <c r="C3" s="22" t="n">
        <v>86</v>
      </c>
      <c r="D3" s="22" t="inlineStr">
        <is>
          <t>deg F</t>
        </is>
      </c>
      <c r="E3" s="22" t="inlineStr">
        <is>
          <t>Warm, sunny weather</t>
        </is>
      </c>
    </row>
    <row r="4" ht="15" customHeight="1" s="16">
      <c r="A4" s="22" t="inlineStr">
        <is>
          <t>Water in growing season</t>
        </is>
      </c>
      <c r="B4" s="22" t="n">
        <v>15</v>
      </c>
      <c r="C4" s="22" t="n"/>
      <c r="D4" s="22" t="inlineStr">
        <is>
          <t>inches</t>
        </is>
      </c>
      <c r="E4" s="22" t="inlineStr">
        <is>
          <t>Rain or irrigation, well distributed</t>
        </is>
      </c>
    </row>
    <row r="5" ht="15" customHeight="1" s="16">
      <c r="A5" s="22" t="inlineStr">
        <is>
          <t>Frost-free days</t>
        </is>
      </c>
      <c r="B5" s="22" t="n">
        <v>130</v>
      </c>
      <c r="C5" s="22" t="n"/>
      <c r="D5" s="22" t="inlineStr">
        <is>
          <t>days</t>
        </is>
      </c>
      <c r="E5" s="22" t="n"/>
    </row>
    <row r="6" ht="15" customHeight="1" s="16">
      <c r="A6" s="22" t="inlineStr">
        <is>
          <t>Soil composition: mineral particles</t>
        </is>
      </c>
      <c r="B6" s="22" t="n">
        <v>0.5</v>
      </c>
      <c r="C6" s="22" t="n"/>
      <c r="D6" s="22" t="inlineStr">
        <is>
          <t>fraction</t>
        </is>
      </c>
      <c r="E6" s="22" t="inlineStr">
        <is>
          <t>Approx. one-half</t>
        </is>
      </c>
    </row>
    <row r="7" ht="15" customHeight="1" s="16">
      <c r="A7" s="22" t="inlineStr">
        <is>
          <t>Soil composition: water</t>
        </is>
      </c>
      <c r="B7" s="22" t="n">
        <v>0.25</v>
      </c>
      <c r="C7" s="22" t="n"/>
      <c r="D7" s="22" t="inlineStr">
        <is>
          <t>fraction</t>
        </is>
      </c>
      <c r="E7" s="22" t="inlineStr">
        <is>
          <t>Approx. one-fourth</t>
        </is>
      </c>
    </row>
    <row r="8" ht="15" customHeight="1" s="16">
      <c r="A8" s="22" t="inlineStr">
        <is>
          <t>Soil composition: air</t>
        </is>
      </c>
      <c r="B8" s="22" t="n">
        <v>0.25</v>
      </c>
      <c r="C8" s="22" t="n"/>
      <c r="D8" s="22" t="inlineStr">
        <is>
          <t>fraction</t>
        </is>
      </c>
      <c r="E8" s="22" t="inlineStr">
        <is>
          <t>Approx. one-fourth</t>
        </is>
      </c>
    </row>
    <row r="9" ht="15" customHeight="1" s="16">
      <c r="A9" s="22" t="inlineStr">
        <is>
          <t>Soil composition: organic matter</t>
        </is>
      </c>
      <c r="B9" s="22" t="n"/>
      <c r="C9" s="22" t="n"/>
      <c r="D9" s="22" t="inlineStr">
        <is>
          <t>percent</t>
        </is>
      </c>
      <c r="E9" s="22" t="inlineStr">
        <is>
          <t>'A few percent'; no target given</t>
        </is>
      </c>
    </row>
    <row r="11" ht="15" customHeight="1" s="16">
      <c r="A11" s="29" t="inlineStr">
        <is>
          <t>Source: EcoFarming Daily, 'Soil Requirements for Growing Corn' (excerpt from How to Grow Top Quality Corn by Dr. Harold Willis). Qualitative needs: medium-textured, loose, well-drained, high water-holding capacity, high humus.</t>
        </is>
      </c>
    </row>
    <row r="12" ht="15" customHeight="1" s="16">
      <c r="A12" s="29" t="inlineStr">
        <is>
          <t>Not in source: soil pH, nutrient rates, planting soil temperature, planting depth/spacing, organic matter target.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5" min="1" max="1"/>
    <col width="100" customWidth="1" style="15" min="2" max="2"/>
    <col width="24" customWidth="1" style="15" min="3" max="3"/>
    <col width="16" customWidth="1" style="15" min="4" max="4"/>
  </cols>
  <sheetData>
    <row r="1" ht="15" customHeight="1" s="16">
      <c r="A1" s="20" t="inlineStr">
        <is>
          <t>#</t>
        </is>
      </c>
      <c r="B1" s="20" t="inlineStr">
        <is>
          <t>question</t>
        </is>
      </c>
      <c r="C1" s="20" t="inlineStr">
        <is>
          <t>owner</t>
        </is>
      </c>
      <c r="D1" s="20" t="inlineStr">
        <is>
          <t>status</t>
        </is>
      </c>
    </row>
    <row r="2" ht="15" customHeight="1" s="16">
      <c r="A2" s="21" t="n">
        <v>1</v>
      </c>
      <c r="B2" s="21" t="inlineStr">
        <is>
          <t>Calibrate tier weights, age penalty, and missing-method penalty with an agronomist and real farm data</t>
        </is>
      </c>
      <c r="C2" s="21" t="inlineStr">
        <is>
          <t>Agronomy</t>
        </is>
      </c>
      <c r="D2" s="22" t="n"/>
    </row>
    <row r="3" ht="15" customHeight="1" s="16">
      <c r="A3" s="21" t="n">
        <v>2</v>
      </c>
      <c r="B3" s="21" t="inlineStr">
        <is>
          <t>Define category cutoffs for kit results (very low to high) by region; confirm reuse terms for extension tables</t>
        </is>
      </c>
      <c r="C3" s="21" t="inlineStr">
        <is>
          <t>Agronomy / Legal</t>
        </is>
      </c>
      <c r="D3" s="22" t="n"/>
    </row>
    <row r="4" ht="15" customHeight="1" s="16">
      <c r="A4" s="21" t="n">
        <v>3</v>
      </c>
      <c r="B4" s="21" t="inlineStr">
        <is>
          <t>Add timing inputs: sample season, days since last amendment application</t>
        </is>
      </c>
      <c r="C4" s="21" t="inlineStr">
        <is>
          <t>Product</t>
        </is>
      </c>
      <c r="D4" s="22" t="n"/>
    </row>
    <row r="5" ht="15" customHeight="1" s="16">
      <c r="A5" s="21" t="n">
        <v>4</v>
      </c>
      <c r="B5" s="21" t="inlineStr">
        <is>
          <t>Verify weather data source and license (NASA POWER / NOAA)</t>
        </is>
      </c>
      <c r="C5" s="21" t="inlineStr">
        <is>
          <t>Data engineering</t>
        </is>
      </c>
      <c r="D5" s="22" t="n"/>
    </row>
    <row r="6" ht="15" customHeight="1" s="16">
      <c r="A6" s="21" t="n">
        <v>5</v>
      </c>
      <c r="B6" s="21" t="inlineStr">
        <is>
          <t>Decide handling for non-US fields (SSURGO is US only; SoilGrids fallback)</t>
        </is>
      </c>
      <c r="C6" s="21" t="inlineStr">
        <is>
          <t>Product</t>
        </is>
      </c>
      <c r="D6" s="22" t="n"/>
    </row>
    <row r="7" ht="15" customHeight="1" s="16">
      <c r="A7" s="21" t="n">
        <v>6</v>
      </c>
      <c r="B7" s="21" t="inlineStr">
        <is>
          <t>Validate SDA query and NASS pull script against live services (script was not tested)</t>
        </is>
      </c>
      <c r="C7" s="21" t="inlineStr">
        <is>
          <t>Data engineering</t>
        </is>
      </c>
      <c r="D7" s="22" t="n"/>
    </row>
    <row r="8" ht="15" customHeight="1" s="16">
      <c r="A8" s="21" t="n">
        <v>7</v>
      </c>
      <c r="B8" s="21" t="inlineStr">
        <is>
          <t>Define units standard (ppm vs lb/ac) and conversion rules per lab method</t>
        </is>
      </c>
      <c r="C8" s="21" t="inlineStr">
        <is>
          <t>Data engineering</t>
        </is>
      </c>
      <c r="D8" s="22" t="n"/>
    </row>
    <row r="9">
      <c r="A9" s="25" t="n">
        <v>8</v>
      </c>
      <c r="B9" s="25" t="inlineStr">
        <is>
          <t>Select and document supported regional corn N recommendation methods, including mandatory inputs, allowed credits, and invalid test conditions</t>
        </is>
      </c>
      <c r="C9" s="25" t="inlineStr">
        <is>
          <t>Agronomy</t>
        </is>
      </c>
      <c r="D9" s="25" t="inlineStr">
        <is>
          <t>Open</t>
        </is>
      </c>
    </row>
    <row r="10">
      <c r="A10" s="25" t="n">
        <v>9</v>
      </c>
      <c r="B10" s="25" t="inlineStr">
        <is>
          <t>Define nitrate-N unit conversions and residual nitrate credit rules by method, depth, sampling timing, and reporting basis</t>
        </is>
      </c>
      <c r="C10" s="25" t="inlineStr">
        <is>
          <t>Agronomy / Data engineering</t>
        </is>
      </c>
      <c r="D10" s="25" t="inlineStr">
        <is>
          <t>Open</t>
        </is>
      </c>
    </row>
    <row r="11">
      <c r="A11" s="25" t="n">
        <v>10</v>
      </c>
      <c r="B11" s="25" t="inlineStr">
        <is>
          <t>Define source-specific plant-available N calculation for manure/organic amendments and prevent double counting</t>
        </is>
      </c>
      <c r="C11" s="25" t="inlineStr">
        <is>
          <t>Agronomy</t>
        </is>
      </c>
      <c r="D11" s="25" t="inlineStr">
        <is>
          <t>Open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8" customWidth="1" style="15" min="1" max="1"/>
    <col width="14" customWidth="1" style="15" min="2" max="2"/>
    <col width="26" customWidth="1" style="15" min="3" max="3"/>
    <col width="58" customWidth="1" style="15" min="4" max="4"/>
    <col width="46" customWidth="1" style="15" min="5" max="5"/>
  </cols>
  <sheetData>
    <row r="1" ht="15" customHeight="1" s="16">
      <c r="A1" s="27" t="inlineStr">
        <is>
          <t>profile_field</t>
        </is>
      </c>
      <c r="B1" s="27" t="inlineStr">
        <is>
          <t>unit</t>
        </is>
      </c>
      <c r="C1" s="27" t="inlineStr">
        <is>
          <t>source</t>
        </is>
      </c>
      <c r="D1" s="27" t="inlineStr">
        <is>
          <t>how derived</t>
        </is>
      </c>
      <c r="E1" s="27" t="inlineStr">
        <is>
          <t>feeds (practice logic)</t>
        </is>
      </c>
    </row>
    <row r="2" ht="15" customHeight="1" s="16">
      <c r="A2" s="22" t="inlineStr">
        <is>
          <t>location.lat / lon</t>
        </is>
      </c>
      <c r="B2" s="22" t="inlineStr">
        <is>
          <t>degrees</t>
        </is>
      </c>
      <c r="C2" s="22" t="inlineStr">
        <is>
          <t>Farmer entry</t>
        </is>
      </c>
      <c r="D2" s="22" t="inlineStr">
        <is>
          <t>Pin or geocoded address</t>
        </is>
      </c>
      <c r="E2" s="22" t="inlineStr">
        <is>
          <t>All lookups</t>
        </is>
      </c>
    </row>
    <row r="3" ht="15" customHeight="1" s="16">
      <c r="A3" s="22" t="inlineStr">
        <is>
          <t>soil.map_unit_component</t>
        </is>
      </c>
      <c r="B3" s="22" t="inlineStr">
        <is>
          <t>text</t>
        </is>
      </c>
      <c r="C3" s="22" t="inlineStr">
        <is>
          <t>SSURGO (Soil Data Access)</t>
        </is>
      </c>
      <c r="D3" s="22" t="inlineStr">
        <is>
          <t>Largest component of the map unit at the point</t>
        </is>
      </c>
      <c r="E3" s="22" t="inlineStr">
        <is>
          <t>Context; typical soil of the area</t>
        </is>
      </c>
    </row>
    <row r="4" ht="15" customHeight="1" s="16">
      <c r="A4" s="22" t="inlineStr">
        <is>
          <t>soil.drainage_class</t>
        </is>
      </c>
      <c r="B4" s="22" t="inlineStr">
        <is>
          <t>category</t>
        </is>
      </c>
      <c r="C4" s="22" t="inlineStr">
        <is>
          <t>SSURGO</t>
        </is>
      </c>
      <c r="D4" s="22" t="inlineStr">
        <is>
          <t>component.drainagecl</t>
        </is>
      </c>
      <c r="E4" s="22" t="inlineStr">
        <is>
          <t>Aeration/drainage advice</t>
        </is>
      </c>
    </row>
    <row r="5" ht="15" customHeight="1" s="16">
      <c r="A5" s="22" t="inlineStr">
        <is>
          <t>soil.slope_pct</t>
        </is>
      </c>
      <c r="B5" s="22" t="inlineStr">
        <is>
          <t>percent</t>
        </is>
      </c>
      <c r="C5" s="22" t="inlineStr">
        <is>
          <t>SSURGO</t>
        </is>
      </c>
      <c r="D5" s="22" t="inlineStr">
        <is>
          <t>component.slope_r</t>
        </is>
      </c>
      <c r="E5" s="22" t="inlineStr">
        <is>
          <t>Erosion risk; tillage and cover crop choice</t>
        </is>
      </c>
    </row>
    <row r="6" ht="15" customHeight="1" s="16">
      <c r="A6" s="22" t="inlineStr">
        <is>
          <t>soil.hydrologic_group</t>
        </is>
      </c>
      <c r="B6" s="22" t="inlineStr">
        <is>
          <t>A/B/C/D</t>
        </is>
      </c>
      <c r="C6" s="22" t="inlineStr">
        <is>
          <t>SSURGO</t>
        </is>
      </c>
      <c r="D6" s="22" t="inlineStr">
        <is>
          <t>component.hydgrp</t>
        </is>
      </c>
      <c r="E6" s="22" t="inlineStr">
        <is>
          <t>Runoff and infiltration tendency</t>
        </is>
      </c>
    </row>
    <row r="7" ht="15" customHeight="1" s="16">
      <c r="A7" s="22" t="inlineStr">
        <is>
          <t>soil.top_0_30cm.organic_matter_pct</t>
        </is>
      </c>
      <c r="B7" s="22" t="inlineStr">
        <is>
          <t>percent</t>
        </is>
      </c>
      <c r="C7" s="22" t="inlineStr">
        <is>
          <t>SSURGO</t>
        </is>
      </c>
      <c r="D7" s="22" t="inlineStr">
        <is>
          <t>Thickness-weighted average of layers 0-30 cm</t>
        </is>
      </c>
      <c r="E7" s="22" t="inlineStr">
        <is>
          <t>Typical OM vs farmer's value</t>
        </is>
      </c>
    </row>
    <row r="8" ht="15" customHeight="1" s="16">
      <c r="A8" s="22" t="inlineStr">
        <is>
          <t>soil.top_0_30cm.ph</t>
        </is>
      </c>
      <c r="B8" s="22" t="inlineStr">
        <is>
          <t>pH</t>
        </is>
      </c>
      <c r="C8" s="22" t="inlineStr">
        <is>
          <t>SSURGO</t>
        </is>
      </c>
      <c r="D8" s="22" t="inlineStr">
        <is>
          <t>Same</t>
        </is>
      </c>
      <c r="E8" s="22" t="inlineStr">
        <is>
          <t>Lime flag (direction only)</t>
        </is>
      </c>
    </row>
    <row r="9" ht="15" customHeight="1" s="16">
      <c r="A9" s="22" t="inlineStr">
        <is>
          <t>soil.top_0_30cm.cec_meq_100g</t>
        </is>
      </c>
      <c r="B9" s="22" t="inlineStr">
        <is>
          <t>meq/100g</t>
        </is>
      </c>
      <c r="C9" s="22" t="inlineStr">
        <is>
          <t>SSURGO</t>
        </is>
      </c>
      <c r="D9" s="22" t="inlineStr">
        <is>
          <t>Same</t>
        </is>
      </c>
      <c r="E9" s="22" t="inlineStr">
        <is>
          <t>Nutrient holding capacity</t>
        </is>
      </c>
    </row>
    <row r="10" ht="15" customHeight="1" s="16">
      <c r="A10" s="22" t="inlineStr">
        <is>
          <t>soil.top_0_30cm.clay/sand/silt_pct</t>
        </is>
      </c>
      <c r="B10" s="22" t="inlineStr">
        <is>
          <t>percent</t>
        </is>
      </c>
      <c r="C10" s="22" t="inlineStr">
        <is>
          <t>SSURGO</t>
        </is>
      </c>
      <c r="D10" s="22" t="inlineStr">
        <is>
          <t>Same</t>
        </is>
      </c>
      <c r="E10" s="22" t="inlineStr">
        <is>
          <t>Texture class</t>
        </is>
      </c>
    </row>
    <row r="11" ht="15" customHeight="1" s="16">
      <c r="A11" s="22" t="inlineStr">
        <is>
          <t>climate.frost.last_spring_frost (p10/p50/p90)</t>
        </is>
      </c>
      <c r="B11" s="22" t="inlineStr">
        <is>
          <t>MM-DD</t>
        </is>
      </c>
      <c r="C11" s="22" t="inlineStr">
        <is>
          <t>NASA POWER</t>
        </is>
      </c>
      <c r="D11" s="22" t="inlineStr">
        <is>
          <t>Last day Tmin &lt;= 0 C before Jul 1, per year, percentiles over ~30 yrs</t>
        </is>
      </c>
      <c r="E11" s="22" t="inlineStr">
        <is>
          <t>Planting windows; cover crop termination</t>
        </is>
      </c>
    </row>
    <row r="12" ht="15" customHeight="1" s="16">
      <c r="A12" s="22" t="inlineStr">
        <is>
          <t>climate.frost.first_fall_frost (p10/p50/p90)</t>
        </is>
      </c>
      <c r="B12" s="22" t="inlineStr">
        <is>
          <t>MM-DD</t>
        </is>
      </c>
      <c r="C12" s="22" t="inlineStr">
        <is>
          <t>NASA POWER</t>
        </is>
      </c>
      <c r="D12" s="22" t="inlineStr">
        <is>
          <t>First day Tmin &lt;= 0 C after Jul 1, per year, percentiles</t>
        </is>
      </c>
      <c r="E12" s="22" t="inlineStr">
        <is>
          <t>Fall cover crop establishment window</t>
        </is>
      </c>
    </row>
    <row r="13" ht="15" customHeight="1" s="16">
      <c r="A13" s="22" t="inlineStr">
        <is>
          <t>climate.frost.frost_free_days (p10/p50/p90)</t>
        </is>
      </c>
      <c r="B13" s="22" t="inlineStr">
        <is>
          <t>days</t>
        </is>
      </c>
      <c r="C13" s="22" t="inlineStr">
        <is>
          <t>NASA POWER</t>
        </is>
      </c>
      <c r="D13" s="22" t="inlineStr">
        <is>
          <t>First fall frost minus last spring frost</t>
        </is>
      </c>
      <c r="E13" s="22" t="inlineStr">
        <is>
          <t>Hybrid maturity fit (corn needs 130+ per source article)</t>
        </is>
      </c>
    </row>
    <row r="14" ht="15" customHeight="1" s="16">
      <c r="A14" s="22" t="inlineStr">
        <is>
          <t>climate.corn_gdd.seasonal_gdd (p10/p50/p90)</t>
        </is>
      </c>
      <c r="B14" s="22" t="inlineStr">
        <is>
          <t>GDD (F)</t>
        </is>
      </c>
      <c r="C14" s="22" t="inlineStr">
        <is>
          <t>NASA POWER</t>
        </is>
      </c>
      <c r="D14" s="22" t="inlineStr">
        <is>
          <t>86/50 F method, May 1 - Sep 30</t>
        </is>
      </c>
      <c r="E14" s="22" t="inlineStr">
        <is>
          <t>Hybrid maturity fit</t>
        </is>
      </c>
    </row>
    <row r="15" ht="15" customHeight="1" s="16">
      <c r="A15" s="22" t="inlineStr">
        <is>
          <t>climate.rainfall.monthly_mean_mm / annual_mean_mm</t>
        </is>
      </c>
      <c r="B15" s="22" t="inlineStr">
        <is>
          <t>mm</t>
        </is>
      </c>
      <c r="C15" s="22" t="inlineStr">
        <is>
          <t>NASA POWER</t>
        </is>
      </c>
      <c r="D15" s="22" t="inlineStr">
        <is>
          <t>Mean of monthly sums over ~30 yrs</t>
        </is>
      </c>
      <c r="E15" s="22" t="inlineStr">
        <is>
          <t>Erosion/leaching windows; irrigation need</t>
        </is>
      </c>
    </row>
    <row r="16" ht="15" customHeight="1" s="16">
      <c r="A16" s="22" t="inlineStr">
        <is>
          <t>climate.winter.winter_mean_tmin_c</t>
        </is>
      </c>
      <c r="B16" s="22" t="inlineStr">
        <is>
          <t>deg C</t>
        </is>
      </c>
      <c r="C16" s="22" t="inlineStr">
        <is>
          <t>NASA POWER</t>
        </is>
      </c>
      <c r="D16" s="22" t="inlineStr">
        <is>
          <t>Mean Tmin Dec-Feb</t>
        </is>
      </c>
      <c r="E16" s="22" t="inlineStr">
        <is>
          <t>Cover crop winter survival</t>
        </is>
      </c>
    </row>
    <row r="17" ht="15" customHeight="1" s="16">
      <c r="A17" s="22" t="inlineStr">
        <is>
          <t>climate.winter.days_per_year_tmin_below_minus10c</t>
        </is>
      </c>
      <c r="B17" s="22" t="inlineStr">
        <is>
          <t>days</t>
        </is>
      </c>
      <c r="C17" s="22" t="inlineStr">
        <is>
          <t>NASA POWER</t>
        </is>
      </c>
      <c r="D17" s="22" t="inlineStr">
        <is>
          <t>Days per year with Tmin &lt;= -10 C</t>
        </is>
      </c>
      <c r="E17" s="22" t="inlineStr">
        <is>
          <t>Cover crop winter survival</t>
        </is>
      </c>
    </row>
    <row r="18" ht="15" customHeight="1" s="16">
      <c r="A18" s="22" t="inlineStr">
        <is>
          <t>confidence_tier</t>
        </is>
      </c>
      <c r="B18" s="22" t="inlineStr">
        <is>
          <t>tier_id</t>
        </is>
      </c>
      <c r="C18" s="22" t="inlineStr">
        <is>
          <t>System</t>
        </is>
      </c>
      <c r="D18" s="22" t="inlineStr">
        <is>
          <t>Always 'auto' (0.6 base confidence on Tiers sheet)</t>
        </is>
      </c>
      <c r="E18" s="22" t="inlineStr">
        <is>
          <t>Confidence scoring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5" min="1" max="1"/>
    <col width="16" customWidth="1" style="15" min="2" max="2"/>
    <col width="80" customWidth="1" style="15" min="3" max="3"/>
  </cols>
  <sheetData>
    <row r="1" ht="15" customHeight="1" s="16">
      <c r="A1" s="27" t="inlineStr">
        <is>
          <t>parameter</t>
        </is>
      </c>
      <c r="B1" s="27" t="inlineStr">
        <is>
          <t>value</t>
        </is>
      </c>
      <c r="C1" s="27" t="inlineStr">
        <is>
          <t>description</t>
        </is>
      </c>
    </row>
    <row r="2" ht="15" customHeight="1" s="16">
      <c r="A2" s="22" t="inlineStr">
        <is>
          <t>frost_threshold_c</t>
        </is>
      </c>
      <c r="B2" s="28" t="n">
        <v>0</v>
      </c>
      <c r="C2" s="22" t="inlineStr">
        <is>
          <t>Tmin at or below this counts as frost</t>
        </is>
      </c>
    </row>
    <row r="3" ht="15" customHeight="1" s="16">
      <c r="A3" s="22" t="inlineStr">
        <is>
          <t>history_years</t>
        </is>
      </c>
      <c r="B3" s="28" t="n">
        <v>30</v>
      </c>
      <c r="C3" s="22" t="inlineStr">
        <is>
          <t>Years of weather history used (most recent complete years)</t>
        </is>
      </c>
    </row>
    <row r="4" ht="15" customHeight="1" s="16">
      <c r="A4" s="22" t="inlineStr">
        <is>
          <t>min_valid_fraction</t>
        </is>
      </c>
      <c r="B4" s="28" t="n">
        <v>0.95</v>
      </c>
      <c r="C4" s="22" t="inlineStr">
        <is>
          <t>Skip years with more than 5% missing days</t>
        </is>
      </c>
    </row>
    <row r="5" ht="15" customHeight="1" s="16">
      <c r="A5" s="22" t="inlineStr">
        <is>
          <t>gdd_base_f</t>
        </is>
      </c>
      <c r="B5" s="28" t="n">
        <v>50</v>
      </c>
      <c r="C5" s="22" t="inlineStr">
        <is>
          <t>Corn GDD lower limit (86/50 method)</t>
        </is>
      </c>
    </row>
    <row r="6" ht="15" customHeight="1" s="16">
      <c r="A6" s="22" t="inlineStr">
        <is>
          <t>gdd_cap_f</t>
        </is>
      </c>
      <c r="B6" s="28" t="n">
        <v>86</v>
      </c>
      <c r="C6" s="22" t="inlineStr">
        <is>
          <t>Corn GDD upper limit (86/50 method)</t>
        </is>
      </c>
    </row>
    <row r="7" ht="15" customHeight="1" s="16">
      <c r="A7" s="22" t="inlineStr">
        <is>
          <t>gdd_window</t>
        </is>
      </c>
      <c r="B7" s="28" t="inlineStr">
        <is>
          <t>May 1 - Sep 30</t>
        </is>
      </c>
      <c r="C7" s="22" t="inlineStr">
        <is>
          <t>Accumulation period</t>
        </is>
      </c>
    </row>
    <row r="8" ht="15" customHeight="1" s="16">
      <c r="A8" s="22" t="inlineStr">
        <is>
          <t>cold_day_threshold_c</t>
        </is>
      </c>
      <c r="B8" s="28" t="n">
        <v>-10</v>
      </c>
      <c r="C8" s="22" t="inlineStr">
        <is>
          <t>Used for winter severity day count</t>
        </is>
      </c>
    </row>
    <row r="9" ht="15" customHeight="1" s="16">
      <c r="A9" s="22" t="inlineStr">
        <is>
          <t>power_missing_value</t>
        </is>
      </c>
      <c r="B9" s="28" t="n">
        <v>-999</v>
      </c>
      <c r="C9" s="22" t="inlineStr">
        <is>
          <t>Treat as missing and drop (per third-party docs; confirm in NASA POWER docs)</t>
        </is>
      </c>
    </row>
    <row r="11" ht="15" customHeight="1" s="16">
      <c r="A11" s="29" t="inlineStr">
        <is>
          <t>All values are placeholder assumptions to be confirmed by an agronomist. Frost from gridded model data approximates station records.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2026-10-23T20:28:06Z</dcterms:created>
  <dcterms:modified xmlns:dcterms="http://purl.org/dc/terms/" xmlns:xsi="http://www.w3.org/2001/XMLSchema-instance" xsi:type="dcterms:W3CDTF">2026-10-24T02:30:41Z</dcterms:modified>
  <cp:revision>0</cp:revision>
</cp:coreProperties>
</file>